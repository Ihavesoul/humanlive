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fa33eb762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b77a3e683b54fd2"/>
    <x:sheet xmlns:r="http://schemas.openxmlformats.org/officeDocument/2006/relationships" name="Profile" sheetId="2" r:id="R0d39e45b67824373"/>
    <x:sheet xmlns:r="http://schemas.openxmlformats.org/officeDocument/2006/relationships" name="Daily_Log" sheetId="3" r:id="R69bb95744df1444f"/>
    <x:sheet xmlns:r="http://schemas.openxmlformats.org/officeDocument/2006/relationships" name="Weekly_Review" sheetId="4" r:id="R2b3bc383f9ed48e7"/>
    <x:sheet xmlns:r="http://schemas.openxmlformats.org/officeDocument/2006/relationships" name="Program" sheetId="5" r:id="R1bbd05b85b9b4da2"/>
    <x:sheet xmlns:r="http://schemas.openxmlformats.org/officeDocument/2006/relationships" name="Exercises" sheetId="6" r:id="Ra422e7db39cb47d5"/>
    <x:sheet xmlns:r="http://schemas.openxmlformats.org/officeDocument/2006/relationships" name="Evidence" sheetId="7" r:id="R0f61762fea0044ab"/>
    <x:sheet xmlns:r="http://schemas.openxmlformats.org/officeDocument/2006/relationships" name="Safety" sheetId="8" r:id="Rb87f5120dcf944d1"/>
    <x:sheet xmlns:r="http://schemas.openxmlformats.org/officeDocument/2006/relationships" name="Dashboard" sheetId="9" r:id="R808c43fdadac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"/>
    <x:numFmt numFmtId="203" formatCode="0.00%"/>
    <x:numFmt numFmtId="204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6A3210"/>
      <x:name val="Carlito"/>
    </x:font>
    <x:font>
      <x:b/>
      <x:sz val="11"/>
      <x:color rgb="FFFFFFFF"/>
      <x:name val="Carlito"/>
    </x:font>
    <x:font>
      <x:i/>
      <x:sz val="11"/>
      <x:color rgb="FF41566D"/>
      <x:name val="Carlito"/>
    </x:font>
    <x:font>
      <x:sz val="11"/>
      <x:color rgb="FF3B2D10"/>
      <x:name val="Carlito"/>
    </x:font>
    <x:font>
      <x:sz val="11"/>
      <x:color rgb="FF153B26"/>
      <x:name val="Carlito"/>
    </x:font>
    <x:font>
      <x:sz val="11"/>
      <x:color rgb="FF2032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233A"/>
      </x:patternFill>
    </x:fill>
    <x:fill>
      <x:patternFill patternType="solid">
        <x:fgColor rgb="FFFFF0E1"/>
      </x:patternFill>
    </x:fill>
    <x:fill>
      <x:patternFill patternType="solid">
        <x:fgColor rgb="FF2D4E73"/>
      </x:patternFill>
    </x:fill>
    <x:fill>
      <x:patternFill patternType="solid">
        <x:fgColor rgb="FFF3F6FA"/>
      </x:patternFill>
    </x:fill>
    <x:fill>
      <x:patternFill patternType="solid">
        <x:fgColor rgb="FF1E3656"/>
      </x:patternFill>
    </x:fill>
    <x:fill>
      <x:patternFill patternType="solid">
        <x:fgColor rgb="FFFFF4D6"/>
      </x:patternFill>
    </x:fill>
    <x:fill>
      <x:patternFill patternType="solid">
        <x:fgColor rgb="FFE4F3EA"/>
      </x:patternFill>
    </x:fill>
    <x:fill>
      <x:patternFill patternType="solid">
        <x:fgColor rgb="FFFFFDF7"/>
      </x:patternFill>
    </x:fill>
    <x:fill>
      <x:patternFill patternType="solid">
        <x:fgColor rgb="FFEAF0F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0" fontId="5" fillId="7" borderId="0" xfId="0" applyNumberFormat="1" applyFont="1" applyFill="1" applyBorder="1"/>
    <x:xf numFmtId="20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1" fontId="6" fillId="8" borderId="0" xfId="0" applyNumberFormat="1" applyFont="1" applyFill="1" applyBorder="1"/>
    <x:xf numFmtId="201" fontId="6" fillId="8" borderId="1" xfId="0" applyNumberFormat="1" applyFont="1" applyFill="1" applyBorder="1"/>
    <x:xf numFmtId="202" fontId="6" fillId="8" borderId="0" xfId="0" applyNumberFormat="1" applyFont="1" applyFill="1" applyBorder="1"/>
    <x:xf numFmtId="202" fontId="6" fillId="8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A5A31"/>
      </x:font>
      <x:fill>
        <x:patternFill patternType="solid">
          <x:bgColor rgb="FFDFF2E6"/>
        </x:patternFill>
      </x:fill>
    </x:dxf>
    <x:dxf>
      <x:font>
        <x:color rgb="FF1A5A31"/>
      </x:font>
      <x:fill>
        <x:patternFill patternType="solid">
          <x:bgColor rgb="FFDFF2E6"/>
        </x:patternFill>
      </x:fill>
    </x:dxf>
    <x:dxf>
      <x:font>
        <x:color rgb="FF71470D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d29b3ecb74a71" /><Relationship Type="http://schemas.openxmlformats.org/officeDocument/2006/relationships/theme" Target="/xl/theme/theme1.xml" Id="R816bc8edb8bc4562" /><Relationship Type="http://schemas.openxmlformats.org/officeDocument/2006/relationships/sharedStrings" Target="/xl/sharedStrings.xml" Id="Rfc26a523afad49cc" /><Relationship Type="http://schemas.openxmlformats.org/officeDocument/2006/relationships/worksheet" Target="/xl/worksheets/sheet1.xml" Id="Rab77a3e683b54fd2" /><Relationship Type="http://schemas.openxmlformats.org/officeDocument/2006/relationships/worksheet" Target="/xl/worksheets/sheet2.xml" Id="R0d39e45b67824373" /><Relationship Type="http://schemas.openxmlformats.org/officeDocument/2006/relationships/worksheet" Target="/xl/worksheets/sheet3.xml" Id="R69bb95744df1444f" /><Relationship Type="http://schemas.openxmlformats.org/officeDocument/2006/relationships/worksheet" Target="/xl/worksheets/sheet4.xml" Id="R2b3bc383f9ed48e7" /><Relationship Type="http://schemas.openxmlformats.org/officeDocument/2006/relationships/worksheet" Target="/xl/worksheets/sheet5.xml" Id="R1bbd05b85b9b4da2" /><Relationship Type="http://schemas.openxmlformats.org/officeDocument/2006/relationships/worksheet" Target="/xl/worksheets/sheet6.xml" Id="Ra422e7db39cb47d5" /><Relationship Type="http://schemas.openxmlformats.org/officeDocument/2006/relationships/worksheet" Target="/xl/worksheets/sheet7.xml" Id="R0f61762fea0044ab" /><Relationship Type="http://schemas.openxmlformats.org/officeDocument/2006/relationships/worksheet" Target="/xl/worksheets/sheet8.xml" Id="Rb87f5120dcf944d1" /><Relationship Type="http://schemas.openxmlformats.org/officeDocument/2006/relationships/worksheet" Target="/xl/worksheets/sheet9.xml" Id="R808c43fdadac41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69e91940b14b7f" /><Relationship Type="http://schemas.openxmlformats.org/officeDocument/2006/relationships/chart" Target="/xl/drawings/charts/chart2.xml" Id="Rdd3a64ebb0b64da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Вес, кг</c:v>
          </c:tx>
          <c:cat>
            <c:strRef>
              <c:f>'Daily_Log'!$A$4:$A$123</c:f>
              <c:strCache>
                <c:ptCount val="0"/>
              </c:strCache>
            </c:strRef>
          </c:cat>
          <c:val>
            <c:numRef>
              <c:f>'Daily_Log'!$P$4:$P$123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Средний вес</c:v>
          </c:tx>
          <c:cat>
            <c:strRef>
              <c:f>'Weekly_Review'!$B$4:$B$15</c:f>
              <c:strCache>
                <c:ptCount val="0"/>
              </c:strCache>
            </c:strRef>
          </c:cat>
          <c:val>
            <c:numRef>
              <c:f>'Weekly_Review'!$D$4:$D$15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69e91940b14b7f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a64ebb0b64d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LogTable" displayName="DailyLogTable" ref="A3:S123" headerRowCount="1">
  <x:tableColumns count="19">
    <x:tableColumn id="1" name="Дата"/>
    <x:tableColumn id="2" name="Вес, кг"/>
    <x:tableColumn id="3" name="Талия, см"/>
    <x:tableColumn id="4" name="Ккал"/>
    <x:tableColumn id="5" name="Белок, г"/>
    <x:tableColumn id="6" name="Шаги"/>
    <x:tableColumn id="7" name="Сон, ч"/>
    <x:tableColumn id="8" name="Стресс 1–5"/>
    <x:tableColumn id="9" name="Боль 0–10"/>
    <x:tableColumn id="10" name="Левое напряжение 0–10"/>
    <x:tableColumn id="11" name="Сессия"/>
    <x:tableColumn id="12" name="Выполнено"/>
    <x:tableColumn id="13" name="Заметки"/>
    <x:tableColumn id="14" name="Δ ккал"/>
    <x:tableColumn id="15" name="Белок / цель"/>
    <x:tableColumn id="16" name="7-дн. средний вес"/>
    <x:tableColumn id="17" name="Питание OK"/>
    <x:tableColumn id="18" name="Сессия score"/>
    <x:tableColumn id="19" name="Неделя"/>
  </x:tableColumns>
  <x:tableStyleInfo name="TableStyleMedium2" showRowStripes="1"/>
</x:table>
</file>

<file path=xl/tables/table2.xml><?xml version="1.0" encoding="utf-8"?>
<x:table xmlns:x="http://schemas.openxmlformats.org/spreadsheetml/2006/main" id="2" name="ExerciseLibraryTable" displayName="ExerciseLibraryTable" ref="A3:K27" headerRowCount="1">
  <x:tableColumns count="11">
    <x:tableColumn id="1" name="ID"/>
    <x:tableColumn id="2" name="Упражнение"/>
    <x:tableColumn id="3" name="Категория"/>
    <x:tableColumn id="4" name="Инвентарь"/>
    <x:tableColumn id="5" name="Подходы"/>
    <x:tableColumn id="6" name="Схема"/>
    <x:tableColumn id="7" name="RIR"/>
    <x:tableColumn id="8" name="Инструкция"/>
    <x:tableColumn id="9" name="Прогрессия"/>
    <x:tableColumn id="10" name="Регрессия"/>
    <x:tableColumn id="11" name="Scoliosis rule / evidence ID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Table" displayName="EvidenceTable" ref="A3:J24" headerRowCount="1">
  <x:tableColumns count="10">
    <x:tableColumn id="1" name="ID"/>
    <x:tableColumn id="2" name="Домен"/>
    <x:tableColumn id="3" name="Источник"/>
    <x:tableColumn id="4" name="Дизайн"/>
    <x:tableColumn id="5" name="Ключевой вывод"/>
    <x:tableColumn id="6" name="Применение"/>
    <x:tableColumn id="7" name="Ограничения"/>
    <x:tableColumn id="8" name="Уровень"/>
    <x:tableColumn id="9" name="PMID/DOI"/>
    <x:tableColumn id="10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139160efbfd42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4c67c613cc0343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2af9d8ae6d543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1187192f468f4d2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4" t="str">
        <x:v>Lean Recomposition + Scoliosis-Aware PoC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Версия 0.2.0. Жёлтые клетки — ввод пользователя; зелёные — расчёт. Файл предназначен для мониторинга и нейтральной общей физической подготовки, но не для назначения curve-specific коррекции сколиоза.</x:v>
      </x:c>
      <x:c r="B3" s="10"/>
      <x:c r="C3" s="10"/>
      <x:c r="D3" s="10"/>
      <x:c r="E3" s="10"/>
      <x:c r="F3" s="10"/>
      <x:c r="G3" s="10"/>
      <x:c r="H3" s="10"/>
    </x:row>
    <x:row r="5">
      <x:c r="A5" s="18" t="str">
        <x:v>Шаг</x:v>
      </x:c>
      <x:c r="B5" s="18" t="str">
        <x:v>Действие</x:v>
      </x:c>
    </x:row>
    <x:row r="6">
      <x:c r="A6" s="24" t="str">
        <x:v>1</x:v>
      </x:c>
      <x:c r="B6" s="24" t="str">
        <x:v>Проверьте рост, вес, возраст, старт цикла и целевые калории на листе Profile.</x:v>
      </x:c>
    </x:row>
    <x:row r="7">
      <x:c r="A7" s="24" t="str">
        <x:v>2</x:v>
      </x:c>
      <x:c r="B7" s="24" t="str">
        <x:v>Заполняйте Daily_Log: утренний вес, талию, калории, белок, сон, стресс, боль и выполненную сессию.</x:v>
      </x:c>
    </x:row>
    <x:row r="8">
      <x:c r="A8" s="24" t="str">
        <x:v>3</x:v>
      </x:c>
      <x:c r="B8" s="24" t="str">
        <x:v>Оценивайте динамику по Weekly_Review после минимум 14 дней, а не по одному измерению.</x:v>
      </x:c>
    </x:row>
    <x:row r="9">
      <x:c r="A9" s="24" t="str">
        <x:v>4</x:v>
      </x:c>
      <x:c r="B9" s="24" t="str">
        <x:v>Программа рассчитана на 3 Full Body и 2 нейтральные motor-control сессии в неделю.</x:v>
      </x:c>
    </x:row>
    <x:row r="10">
      <x:c r="A10" s="24" t="str">
        <x:v>5</x:v>
      </x:c>
      <x:c r="B10" s="24" t="str">
        <x:v>При любом новом красном флаге прекратите автоматическую генерацию тренировки и получите клиническую оценку.</x:v>
      </x:c>
    </x:row>
    <x:row r="11">
      <x:c r="A11" s="24" t="str">
        <x:v>6</x:v>
      </x:c>
      <x:c r="B11" s="24" t="str">
        <x:v>Не используйте односторонний клин, подъём стопы или неравный объём как самостоятельную «коррекцию дуги».</x:v>
      </x:c>
    </x:row>
    <x:row r="12">
      <x:c r="A12" s="24" t="str">
        <x:v>7</x:v>
      </x:c>
      <x:c r="B12" s="24" t="str">
        <x:v>Процент жира Xiaomi — шумный ориентир; приоритет имеют весовой тренд, талия, фото и производительность.</x:v>
      </x:c>
    </x:row>
    <x:row r="15">
      <x:c r="A15" s="28" t="str">
        <x:v>Самоотчёт 2026-07-21: слабость ноги, онемение, нарушение мочеиспускания/дефекации, ночная боль, потеря массы, лихорадка, травма и быстрое неврологическое прогрессирование не сообщаются. Это не медицинский допуск.</x:v>
      </x:c>
      <x:c r="B15" s="28"/>
      <x:c r="C15" s="28"/>
      <x:c r="D15" s="28"/>
      <x:c r="E15" s="28"/>
      <x:c r="F15" s="28"/>
      <x:c r="G15" s="28"/>
      <x:c r="H15" s="28"/>
    </x:row>
  </x:sheetData>
  <x:mergeCells>
    <x:mergeCell ref="A1:H1"/>
    <x:mergeCell ref="A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3" hidden="0" customWidth="1"/>
    <x:col min="4" max="4" width="37" hidden="0" customWidth="1"/>
    <x:col min="5" max="5" width="19" hidden="0" customWidth="1"/>
    <x:col min="6" max="6" width="12" hidden="0" customWidth="1"/>
  </x:cols>
  <x:sheetData>
    <x:row r="1" ht="32" customHeight="1">
      <x:c r="A1" s="4" t="str">
        <x:v>Профиль, калории и макросы</x:v>
      </x:c>
      <x:c r="B1" s="4"/>
      <x:c r="C1" s="4"/>
      <x:c r="D1" s="4"/>
      <x:c r="E1" s="4"/>
      <x:c r="F1" s="4"/>
    </x:row>
    <x:row r="3">
      <x:c r="A3" s="34" t="str">
        <x:v>Вводные</x:v>
      </x:c>
      <x:c r="B3" s="34" t="str">
        <x:v>Значение</x:v>
      </x:c>
      <x:c r="D3" s="34" t="str">
        <x:v>Расчёт</x:v>
      </x:c>
      <x:c r="E3" s="34" t="str">
        <x:v>Значение</x:v>
      </x:c>
    </x:row>
    <x:row r="4">
      <x:c r="A4" t="str">
        <x:v>Вес, кг</x:v>
      </x:c>
      <x:c r="B4" s="39" t="n">
        <x:v>83.2</x:v>
      </x:c>
      <x:c r="D4" t="str">
        <x:v>BMR Mifflin–St Jeor, ккал</x:v>
      </x:c>
      <x:c r="E4" s="45" t="n">
        <x:f>10*B4+6.25*B5-5*B6+5</x:f>
        <x:v>1872</x:v>
      </x:c>
    </x:row>
    <x:row r="5">
      <x:c r="A5" t="str">
        <x:v>Рост, см</x:v>
      </x:c>
      <x:c r="B5" s="39" t="n">
        <x:v>188</x:v>
      </x:c>
      <x:c r="D5" t="str">
        <x:v>Безжировая масса по BIA, кг</x:v>
      </x:c>
      <x:c r="E5" s="45" t="n">
        <x:f>B4*(1-B7/100)</x:f>
        <x:v>65.5616</x:v>
      </x:c>
    </x:row>
    <x:row r="6">
      <x:c r="A6" t="str">
        <x:v>Возраст, лет</x:v>
      </x:c>
      <x:c r="B6" s="39" t="n">
        <x:v>28</x:v>
      </x:c>
      <x:c r="D6" t="str">
        <x:v>BMR Cunningham, ккал</x:v>
      </x:c>
      <x:c r="E6" s="45" t="n">
        <x:f>370+21.6*E5</x:f>
        <x:v>1786.13056</x:v>
      </x:c>
    </x:row>
    <x:row r="7">
      <x:c r="A7" t="str">
        <x:v>Жир по BIA, %</x:v>
      </x:c>
      <x:c r="B7" s="39" t="n">
        <x:v>21.2</x:v>
      </x:c>
      <x:c r="D7" t="str">
        <x:v>BMR средний, ккал</x:v>
      </x:c>
      <x:c r="E7" s="45" t="n">
        <x:f>AVERAGE(E4,E6)</x:f>
        <x:v>1829.06528</x:v>
      </x:c>
    </x:row>
    <x:row r="8">
      <x:c r="A8" t="str">
        <x:v>Activity factor — низ</x:v>
      </x:c>
      <x:c r="B8" s="39" t="n">
        <x:v>1.4</x:v>
      </x:c>
      <x:c r="D8" t="str">
        <x:v>Поддержание — низ, ккал</x:v>
      </x:c>
      <x:c r="E8" s="45" t="n">
        <x:f>ROUND(E7*B8,0)</x:f>
        <x:v>2561</x:v>
      </x:c>
    </x:row>
    <x:row r="9">
      <x:c r="A9" t="str">
        <x:v>Activity factor — верх</x:v>
      </x:c>
      <x:c r="B9" s="39" t="n">
        <x:v>1.5</x:v>
      </x:c>
      <x:c r="D9" t="str">
        <x:v>Поддержание — верх, ккал</x:v>
      </x:c>
      <x:c r="E9" s="45" t="n">
        <x:f>ROUND(E7*B9,0)</x:f>
        <x:v>2744</x:v>
      </x:c>
    </x:row>
    <x:row r="10">
      <x:c r="A10" t="str">
        <x:v>Дефицит, %</x:v>
      </x:c>
      <x:c r="B10" s="39" t="n">
        <x:v>13</x:v>
      </x:c>
      <x:c r="D10" t="str">
        <x:v>Автоцель, ккал</x:v>
      </x:c>
      <x:c r="E10" s="45" t="n">
        <x:f>ROUND(AVERAGE(E8,E9)*(1-B10/100),-2)</x:f>
        <x:v>2300</x:v>
      </x:c>
    </x:row>
    <x:row r="11">
      <x:c r="A11" t="str">
        <x:v>Ручная цель, ккал (0 = авто)</x:v>
      </x:c>
      <x:c r="B11" s="39" t="n">
        <x:v>2300</x:v>
      </x:c>
      <x:c r="D11" t="str">
        <x:v>Итоговая цель, ккал</x:v>
      </x:c>
      <x:c r="E11" s="45" t="n">
        <x:f>IF(B11&gt;0,B11,E10)</x:f>
        <x:v>2300</x:v>
      </x:c>
    </x:row>
    <x:row r="12">
      <x:c r="A12" t="str">
        <x:v>Силовых в неделю</x:v>
      </x:c>
      <x:c r="B12" s="39" t="n">
        <x:v>3</x:v>
      </x:c>
      <x:c r="D12" t="str">
        <x:v>Белок, г</x:v>
      </x:c>
      <x:c r="E12" s="45" t="n">
        <x:f>ROUND(B4*2.05/5,0)*5</x:f>
        <x:v>170</x:v>
      </x:c>
    </x:row>
    <x:row r="13">
      <x:c r="A13" t="str">
        <x:v>Motor-control в неделю</x:v>
      </x:c>
      <x:c r="B13" s="39" t="n">
        <x:v>2</x:v>
      </x:c>
      <x:c r="D13" t="str">
        <x:v>Жиры, г</x:v>
      </x:c>
      <x:c r="E13" s="45" t="n">
        <x:f>ROUND(B4*0.9/5,0)*5</x:f>
        <x:v>75</x:v>
      </x:c>
    </x:row>
    <x:row r="14">
      <x:c r="A14" t="str">
        <x:v>Минут на сессию</x:v>
      </x:c>
      <x:c r="B14" s="39" t="n">
        <x:v>60</x:v>
      </x:c>
      <x:c r="D14" t="str">
        <x:v>Углеводы, г</x:v>
      </x:c>
      <x:c r="E14" s="45" t="n">
        <x:f>MAX(0,ROUND((E11-E12*4-E13*9)/4,0))</x:f>
        <x:v>236</x:v>
      </x:c>
    </x:row>
    <x:row r="15">
      <x:c r="A15" t="str">
        <x:v>Старт цикла</x:v>
      </x:c>
      <x:c r="B15" s="42" t="n">
        <x:v>46230</x:v>
      </x:c>
      <x:c r="D15" t="str">
        <x:v>Теоретический вес при 15% BF*</x:v>
      </x:c>
      <x:c r="E15" s="45" t="n">
        <x:f>ROUND(E5/(1-15%),1)</x:f>
        <x:v>77.1</x:v>
      </x:c>
    </x:row>
    <x:row r="16">
      <x:c r="A16" t="str">
        <x:v>Инвентарь</x:v>
      </x:c>
      <x:c r="B16" s="39" t="str">
        <x:v>2 гантели до 10 кг; коврик; блоки для йоги</x:v>
      </x:c>
      <x:c r="D16" t="str">
        <x:v>Теоретический вес при 13% BF*</x:v>
      </x:c>
      <x:c r="E16" s="45" t="n">
        <x:f>ROUND(E5/(1-13%),1)</x:f>
        <x:v>75.4</x:v>
      </x:c>
    </x:row>
    <x:row r="18">
      <x:c r="A18" s="28" t="str">
        <x:v>* Теоретические значения предполагают полное сохранение безжировой массы и не являются обязательной целью. BIA-состав тела не считать точным измерением.</x:v>
      </x:c>
      <x:c r="B18" s="28"/>
      <x:c r="C18" s="28"/>
      <x:c r="D18" s="28"/>
      <x:c r="E18" s="28"/>
      <x:c r="F18" s="28"/>
    </x:row>
    <x:row r="20">
      <x:c r="A20" s="10" t="str">
        <x:v>Правило калибровки: первые 14 дней цель не менять. Затем использовать 7-дневные средние веса, талию, выполнение плана, сон, боль и производительность. Коррекция — обычно 100–150 ккал за один шаг.</x:v>
      </x:c>
      <x:c r="B20" s="10"/>
      <x:c r="C20" s="10"/>
      <x:c r="D20" s="10"/>
      <x:c r="E20" s="10"/>
      <x:c r="F20" s="10"/>
    </x:row>
  </x:sheetData>
  <x:mergeCells>
    <x:mergeCell ref="A1:F1"/>
    <x:mergeCell ref="A18:F18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3" hidden="0" customWidth="1"/>
    <x:col min="13" max="13" width="40" hidden="0" customWidth="1"/>
    <x:col min="14" max="14" width="11" hidden="0" customWidth="1"/>
    <x:col min="15" max="15" width="13" hidden="0" customWidth="1"/>
    <x:col min="16" max="16" width="16" hidden="0" customWidth="1"/>
    <x:col min="17" max="17" width="13" hidden="0" customWidth="1"/>
    <x:col min="18" max="18" width="13" hidden="0" customWidth="1"/>
    <x:col min="19" max="19" width="9" hidden="0" customWidth="1"/>
  </x:cols>
  <x:sheetData>
    <x:row r="1" ht="32" customHeight="1">
      <x:c r="A1" s="4" t="str">
        <x:v>Ежедневный журнал — 120 дней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>
      <x:c r="A3" s="18" t="str">
        <x:v>Дата</x:v>
      </x:c>
      <x:c r="B3" s="18" t="str">
        <x:v>Вес, кг</x:v>
      </x:c>
      <x:c r="C3" s="18" t="str">
        <x:v>Талия, см</x:v>
      </x:c>
      <x:c r="D3" s="18" t="str">
        <x:v>Ккал</x:v>
      </x:c>
      <x:c r="E3" s="18" t="str">
        <x:v>Белок, г</x:v>
      </x:c>
      <x:c r="F3" s="18" t="str">
        <x:v>Шаги</x:v>
      </x:c>
      <x:c r="G3" s="18" t="str">
        <x:v>Сон, ч</x:v>
      </x:c>
      <x:c r="H3" s="18" t="str">
        <x:v>Стресс 1–5</x:v>
      </x:c>
      <x:c r="I3" s="18" t="str">
        <x:v>Боль 0–10</x:v>
      </x:c>
      <x:c r="J3" s="18" t="str">
        <x:v>Левое напряжение 0–10</x:v>
      </x:c>
      <x:c r="K3" s="18" t="str">
        <x:v>Сессия</x:v>
      </x:c>
      <x:c r="L3" s="18" t="str">
        <x:v>Выполнено</x:v>
      </x:c>
      <x:c r="M3" s="18" t="str">
        <x:v>Заметки</x:v>
      </x:c>
      <x:c r="N3" s="18" t="str">
        <x:v>Δ ккал</x:v>
      </x:c>
      <x:c r="O3" s="18" t="str">
        <x:v>Белок / цель</x:v>
      </x:c>
      <x:c r="P3" s="18" t="str">
        <x:v>7-дн. средний вес</x:v>
      </x:c>
      <x:c r="Q3" s="18" t="str">
        <x:v>Питание OK</x:v>
      </x:c>
      <x:c r="R3" s="18" t="str">
        <x:v>Сессия score</x:v>
      </x:c>
      <x:c r="S3" s="18" t="str">
        <x:v>Неделя</x:v>
      </x:c>
    </x:row>
    <x:row r="4">
      <x:c r="A4" s="52" t="n">
        <x:v>46224</x:v>
      </x:c>
      <x:c r="B4" s="53" t="n">
        <x:v>83.2</x:v>
      </x:c>
      <x:c r="C4" s="53"/>
      <x:c r="D4" s="53"/>
      <x:c r="E4" s="53"/>
      <x:c r="F4" s="53"/>
      <x:c r="G4" s="53"/>
      <x:c r="H4" s="53"/>
      <x:c r="I4" s="53"/>
      <x:c r="J4" s="53"/>
      <x:c r="K4" s="53" t="str"/>
      <x:c r="L4" s="53" t="str"/>
      <x:c r="M4" s="53" t="str">
        <x:v>Стартовая точка Xiaomi; BIA использовать только как ориентир.</x:v>
      </x:c>
      <x:c r="N4" s="45" t="str">
        <x:f>IF(D4="","",D4-Profile!$E$11)</x:f>
      </x:c>
      <x:c r="O4" s="56" t="str">
        <x:f>IF(E4="","",E4/Profile!$E$12)</x:f>
      </x:c>
      <x:c r="P4" s="58" t="str">
        <x:f>IF(COUNT(INDEX($B:$B,MAX(4,ROW()-6)):B4)=0,"",AVERAGE(INDEX($B:$B,MAX(4,ROW()-6)):B4))</x:f>
      </x:c>
      <x:c r="Q4" s="56" t="str">
        <x:f>IF(OR(D4="",E4=""),"",IF(AND(ABS(N4)&lt;=150,O4&gt;=0.9),1,0))</x:f>
      </x:c>
      <x:c r="R4" s="56" t="n">
        <x:f>IF(L4="Да",1,IF(L4="Частично",0.5,0))</x:f>
        <x:v>0</x:v>
      </x:c>
      <x:c r="S4" s="45" t="n">
        <x:f>IF(A4="","",INT((A4-Profile!$B$15)/7)+1)</x:f>
        <x:v>0</x:v>
      </x:c>
    </x:row>
    <x:row r="5">
      <x:c r="A5" s="52" t="n">
        <x:v>46225</x:v>
      </x:c>
      <x:c r="B5" s="53"/>
      <x:c r="C5" s="53"/>
      <x:c r="D5" s="53"/>
      <x:c r="E5" s="53"/>
      <x:c r="F5" s="53"/>
      <x:c r="G5" s="53"/>
      <x:c r="H5" s="53"/>
      <x:c r="I5" s="53"/>
      <x:c r="J5" s="53"/>
      <x:c r="K5" s="53" t="str"/>
      <x:c r="L5" s="53" t="str"/>
      <x:c r="M5" s="53" t="str"/>
      <x:c r="N5" s="45" t="str">
        <x:f>IF(D5="","",D5-Profile!$E$11)</x:f>
      </x:c>
      <x:c r="O5" s="56" t="str">
        <x:f>IF(E5="","",E5/Profile!$E$12)</x:f>
      </x:c>
      <x:c r="P5" s="58" t="str">
        <x:f>IF(COUNT(INDEX($B:$B,MAX(4,ROW()-6)):B5)=0,"",AVERAGE(INDEX($B:$B,MAX(4,ROW()-6)):B5))</x:f>
      </x:c>
      <x:c r="Q5" s="56" t="str">
        <x:f>IF(OR(D5="",E5=""),"",IF(AND(ABS(N5)&lt;=150,O5&gt;=0.9),1,0))</x:f>
      </x:c>
      <x:c r="R5" s="56" t="n">
        <x:f>IF(L5="Да",1,IF(L5="Частично",0.5,0))</x:f>
        <x:v>0</x:v>
      </x:c>
      <x:c r="S5" s="45" t="n">
        <x:f>IF(A5="","",INT((A5-Profile!$B$15)/7)+1)</x:f>
        <x:v>0</x:v>
      </x:c>
    </x:row>
    <x:row r="6">
      <x:c r="A6" s="52" t="n">
        <x:v>46226</x:v>
      </x:c>
      <x:c r="B6" s="53"/>
      <x:c r="C6" s="53"/>
      <x:c r="D6" s="53"/>
      <x:c r="E6" s="53"/>
      <x:c r="F6" s="53"/>
      <x:c r="G6" s="53"/>
      <x:c r="H6" s="53"/>
      <x:c r="I6" s="53"/>
      <x:c r="J6" s="53"/>
      <x:c r="K6" s="53" t="str"/>
      <x:c r="L6" s="53" t="str"/>
      <x:c r="M6" s="53" t="str"/>
      <x:c r="N6" s="45" t="str">
        <x:f>IF(D6="","",D6-Profile!$E$11)</x:f>
      </x:c>
      <x:c r="O6" s="56" t="str">
        <x:f>IF(E6="","",E6/Profile!$E$12)</x:f>
      </x:c>
      <x:c r="P6" s="58" t="str">
        <x:f>IF(COUNT(INDEX($B:$B,MAX(4,ROW()-6)):B6)=0,"",AVERAGE(INDEX($B:$B,MAX(4,ROW()-6)):B6))</x:f>
      </x:c>
      <x:c r="Q6" s="56" t="str">
        <x:f>IF(OR(D6="",E6=""),"",IF(AND(ABS(N6)&lt;=150,O6&gt;=0.9),1,0))</x:f>
      </x:c>
      <x:c r="R6" s="56" t="n">
        <x:f>IF(L6="Да",1,IF(L6="Частично",0.5,0))</x:f>
        <x:v>0</x:v>
      </x:c>
      <x:c r="S6" s="45" t="n">
        <x:f>IF(A6="","",INT((A6-Profile!$B$15)/7)+1)</x:f>
        <x:v>0</x:v>
      </x:c>
    </x:row>
    <x:row r="7">
      <x:c r="A7" s="52" t="n">
        <x:v>46227</x:v>
      </x:c>
      <x:c r="B7" s="53"/>
      <x:c r="C7" s="53"/>
      <x:c r="D7" s="53"/>
      <x:c r="E7" s="53"/>
      <x:c r="F7" s="53"/>
      <x:c r="G7" s="53"/>
      <x:c r="H7" s="53"/>
      <x:c r="I7" s="53"/>
      <x:c r="J7" s="53"/>
      <x:c r="K7" s="53" t="str"/>
      <x:c r="L7" s="53" t="str"/>
      <x:c r="M7" s="53" t="str"/>
      <x:c r="N7" s="45" t="str">
        <x:f>IF(D7="","",D7-Profile!$E$11)</x:f>
      </x:c>
      <x:c r="O7" s="56" t="str">
        <x:f>IF(E7="","",E7/Profile!$E$12)</x:f>
      </x:c>
      <x:c r="P7" s="58" t="str">
        <x:f>IF(COUNT(INDEX($B:$B,MAX(4,ROW()-6)):B7)=0,"",AVERAGE(INDEX($B:$B,MAX(4,ROW()-6)):B7))</x:f>
      </x:c>
      <x:c r="Q7" s="56" t="str">
        <x:f>IF(OR(D7="",E7=""),"",IF(AND(ABS(N7)&lt;=150,O7&gt;=0.9),1,0))</x:f>
      </x:c>
      <x:c r="R7" s="56" t="n">
        <x:f>IF(L7="Да",1,IF(L7="Частично",0.5,0))</x:f>
        <x:v>0</x:v>
      </x:c>
      <x:c r="S7" s="45" t="n">
        <x:f>IF(A7="","",INT((A7-Profile!$B$15)/7)+1)</x:f>
        <x:v>0</x:v>
      </x:c>
    </x:row>
    <x:row r="8">
      <x:c r="A8" s="52" t="n">
        <x:v>46228</x:v>
      </x:c>
      <x:c r="B8" s="53"/>
      <x:c r="C8" s="53"/>
      <x:c r="D8" s="53"/>
      <x:c r="E8" s="53"/>
      <x:c r="F8" s="53"/>
      <x:c r="G8" s="53"/>
      <x:c r="H8" s="53"/>
      <x:c r="I8" s="53"/>
      <x:c r="J8" s="53"/>
      <x:c r="K8" s="53" t="str"/>
      <x:c r="L8" s="53" t="str"/>
      <x:c r="M8" s="53" t="str"/>
      <x:c r="N8" s="45" t="str">
        <x:f>IF(D8="","",D8-Profile!$E$11)</x:f>
      </x:c>
      <x:c r="O8" s="56" t="str">
        <x:f>IF(E8="","",E8/Profile!$E$12)</x:f>
      </x:c>
      <x:c r="P8" s="58" t="str">
        <x:f>IF(COUNT(INDEX($B:$B,MAX(4,ROW()-6)):B8)=0,"",AVERAGE(INDEX($B:$B,MAX(4,ROW()-6)):B8))</x:f>
      </x:c>
      <x:c r="Q8" s="56" t="str">
        <x:f>IF(OR(D8="",E8=""),"",IF(AND(ABS(N8)&lt;=150,O8&gt;=0.9),1,0))</x:f>
      </x:c>
      <x:c r="R8" s="56" t="n">
        <x:f>IF(L8="Да",1,IF(L8="Частично",0.5,0))</x:f>
        <x:v>0</x:v>
      </x:c>
      <x:c r="S8" s="45" t="n">
        <x:f>IF(A8="","",INT((A8-Profile!$B$15)/7)+1)</x:f>
        <x:v>0</x:v>
      </x:c>
    </x:row>
    <x:row r="9">
      <x:c r="A9" s="52" t="n">
        <x:v>46229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 t="str"/>
      <x:c r="L9" s="53" t="str"/>
      <x:c r="M9" s="53" t="str"/>
      <x:c r="N9" s="45" t="str">
        <x:f>IF(D9="","",D9-Profile!$E$11)</x:f>
      </x:c>
      <x:c r="O9" s="56" t="str">
        <x:f>IF(E9="","",E9/Profile!$E$12)</x:f>
      </x:c>
      <x:c r="P9" s="58" t="str">
        <x:f>IF(COUNT(INDEX($B:$B,MAX(4,ROW()-6)):B9)=0,"",AVERAGE(INDEX($B:$B,MAX(4,ROW()-6)):B9))</x:f>
      </x:c>
      <x:c r="Q9" s="56" t="str">
        <x:f>IF(OR(D9="",E9=""),"",IF(AND(ABS(N9)&lt;=150,O9&gt;=0.9),1,0))</x:f>
      </x:c>
      <x:c r="R9" s="56" t="n">
        <x:f>IF(L9="Да",1,IF(L9="Частично",0.5,0))</x:f>
        <x:v>0</x:v>
      </x:c>
      <x:c r="S9" s="45" t="n">
        <x:f>IF(A9="","",INT((A9-Profile!$B$15)/7)+1)</x:f>
        <x:v>0</x:v>
      </x:c>
    </x:row>
    <x:row r="10">
      <x:c r="A10" s="52" t="n">
        <x:v>46230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 t="str"/>
      <x:c r="L10" s="53" t="str"/>
      <x:c r="M10" s="53" t="str"/>
      <x:c r="N10" s="45" t="str">
        <x:f>IF(D10="","",D10-Profile!$E$11)</x:f>
      </x:c>
      <x:c r="O10" s="56" t="str">
        <x:f>IF(E10="","",E10/Profile!$E$12)</x:f>
      </x:c>
      <x:c r="P10" s="58" t="str">
        <x:f>IF(COUNT(INDEX($B:$B,MAX(4,ROW()-6)):B10)=0,"",AVERAGE(INDEX($B:$B,MAX(4,ROW()-6)):B10))</x:f>
      </x:c>
      <x:c r="Q10" s="56" t="str">
        <x:f>IF(OR(D10="",E10=""),"",IF(AND(ABS(N10)&lt;=150,O10&gt;=0.9),1,0))</x:f>
      </x:c>
      <x:c r="R10" s="56" t="n">
        <x:f>IF(L10="Да",1,IF(L10="Частично",0.5,0))</x:f>
        <x:v>0</x:v>
      </x:c>
      <x:c r="S10" s="45" t="n">
        <x:f>IF(A10="","",INT((A10-Profile!$B$15)/7)+1)</x:f>
        <x:v>1</x:v>
      </x:c>
    </x:row>
    <x:row r="11">
      <x:c r="A11" s="52" t="n">
        <x:v>46231</x:v>
      </x:c>
      <x:c r="B11" s="53"/>
      <x:c r="C11" s="53"/>
      <x:c r="D11" s="53"/>
      <x:c r="E11" s="53"/>
      <x:c r="F11" s="53"/>
      <x:c r="G11" s="53"/>
      <x:c r="H11" s="53"/>
      <x:c r="I11" s="53"/>
      <x:c r="J11" s="53"/>
      <x:c r="K11" s="53" t="str"/>
      <x:c r="L11" s="53" t="str"/>
      <x:c r="M11" s="53" t="str"/>
      <x:c r="N11" s="45" t="str">
        <x:f>IF(D11="","",D11-Profile!$E$11)</x:f>
      </x:c>
      <x:c r="O11" s="56" t="str">
        <x:f>IF(E11="","",E11/Profile!$E$12)</x:f>
      </x:c>
      <x:c r="P11" s="58" t="str">
        <x:f>IF(COUNT(INDEX($B:$B,MAX(4,ROW()-6)):B11)=0,"",AVERAGE(INDEX($B:$B,MAX(4,ROW()-6)):B11))</x:f>
      </x:c>
      <x:c r="Q11" s="56" t="str">
        <x:f>IF(OR(D11="",E11=""),"",IF(AND(ABS(N11)&lt;=150,O11&gt;=0.9),1,0))</x:f>
      </x:c>
      <x:c r="R11" s="56" t="n">
        <x:f>IF(L11="Да",1,IF(L11="Частично",0.5,0))</x:f>
        <x:v>0</x:v>
      </x:c>
      <x:c r="S11" s="45" t="n">
        <x:f>IF(A11="","",INT((A11-Profile!$B$15)/7)+1)</x:f>
        <x:v>1</x:v>
      </x:c>
    </x:row>
    <x:row r="12">
      <x:c r="A12" s="52" t="n">
        <x:v>46232</x:v>
      </x:c>
      <x:c r="B12" s="53"/>
      <x:c r="C12" s="53"/>
      <x:c r="D12" s="53"/>
      <x:c r="E12" s="53"/>
      <x:c r="F12" s="53"/>
      <x:c r="G12" s="53"/>
      <x:c r="H12" s="53"/>
      <x:c r="I12" s="53"/>
      <x:c r="J12" s="53"/>
      <x:c r="K12" s="53" t="str"/>
      <x:c r="L12" s="53" t="str"/>
      <x:c r="M12" s="53" t="str"/>
      <x:c r="N12" s="45" t="str">
        <x:f>IF(D12="","",D12-Profile!$E$11)</x:f>
      </x:c>
      <x:c r="O12" s="56" t="str">
        <x:f>IF(E12="","",E12/Profile!$E$12)</x:f>
      </x:c>
      <x:c r="P12" s="58" t="str">
        <x:f>IF(COUNT(INDEX($B:$B,MAX(4,ROW()-6)):B12)=0,"",AVERAGE(INDEX($B:$B,MAX(4,ROW()-6)):B12))</x:f>
      </x:c>
      <x:c r="Q12" s="56" t="str">
        <x:f>IF(OR(D12="",E12=""),"",IF(AND(ABS(N12)&lt;=150,O12&gt;=0.9),1,0))</x:f>
      </x:c>
      <x:c r="R12" s="56" t="n">
        <x:f>IF(L12="Да",1,IF(L12="Частично",0.5,0))</x:f>
        <x:v>0</x:v>
      </x:c>
      <x:c r="S12" s="45" t="n">
        <x:f>IF(A12="","",INT((A12-Profile!$B$15)/7)+1)</x:f>
        <x:v>1</x:v>
      </x:c>
    </x:row>
    <x:row r="13">
      <x:c r="A13" s="52" t="n">
        <x:v>46233</x:v>
      </x:c>
      <x:c r="B13" s="53"/>
      <x:c r="C13" s="53"/>
      <x:c r="D13" s="53"/>
      <x:c r="E13" s="53"/>
      <x:c r="F13" s="53"/>
      <x:c r="G13" s="53"/>
      <x:c r="H13" s="53"/>
      <x:c r="I13" s="53"/>
      <x:c r="J13" s="53"/>
      <x:c r="K13" s="53" t="str"/>
      <x:c r="L13" s="53" t="str"/>
      <x:c r="M13" s="53" t="str"/>
      <x:c r="N13" s="45" t="str">
        <x:f>IF(D13="","",D13-Profile!$E$11)</x:f>
      </x:c>
      <x:c r="O13" s="56" t="str">
        <x:f>IF(E13="","",E13/Profile!$E$12)</x:f>
      </x:c>
      <x:c r="P13" s="58" t="str">
        <x:f>IF(COUNT(INDEX($B:$B,MAX(4,ROW()-6)):B13)=0,"",AVERAGE(INDEX($B:$B,MAX(4,ROW()-6)):B13))</x:f>
      </x:c>
      <x:c r="Q13" s="56" t="str">
        <x:f>IF(OR(D13="",E13=""),"",IF(AND(ABS(N13)&lt;=150,O13&gt;=0.9),1,0))</x:f>
      </x:c>
      <x:c r="R13" s="56" t="n">
        <x:f>IF(L13="Да",1,IF(L13="Частично",0.5,0))</x:f>
        <x:v>0</x:v>
      </x:c>
      <x:c r="S13" s="45" t="n">
        <x:f>IF(A13="","",INT((A13-Profile!$B$15)/7)+1)</x:f>
        <x:v>1</x:v>
      </x:c>
    </x:row>
    <x:row r="14">
      <x:c r="A14" s="52" t="n">
        <x:v>46234</x:v>
      </x:c>
      <x:c r="B14" s="53"/>
      <x:c r="C14" s="53"/>
      <x:c r="D14" s="53"/>
      <x:c r="E14" s="53"/>
      <x:c r="F14" s="53"/>
      <x:c r="G14" s="53"/>
      <x:c r="H14" s="53"/>
      <x:c r="I14" s="53"/>
      <x:c r="J14" s="53"/>
      <x:c r="K14" s="53" t="str"/>
      <x:c r="L14" s="53" t="str"/>
      <x:c r="M14" s="53" t="str"/>
      <x:c r="N14" s="45" t="str">
        <x:f>IF(D14="","",D14-Profile!$E$11)</x:f>
      </x:c>
      <x:c r="O14" s="56" t="str">
        <x:f>IF(E14="","",E14/Profile!$E$12)</x:f>
      </x:c>
      <x:c r="P14" s="58" t="str">
        <x:f>IF(COUNT(INDEX($B:$B,MAX(4,ROW()-6)):B14)=0,"",AVERAGE(INDEX($B:$B,MAX(4,ROW()-6)):B14))</x:f>
      </x:c>
      <x:c r="Q14" s="56" t="str">
        <x:f>IF(OR(D14="",E14=""),"",IF(AND(ABS(N14)&lt;=150,O14&gt;=0.9),1,0))</x:f>
      </x:c>
      <x:c r="R14" s="56" t="n">
        <x:f>IF(L14="Да",1,IF(L14="Частично",0.5,0))</x:f>
        <x:v>0</x:v>
      </x:c>
      <x:c r="S14" s="45" t="n">
        <x:f>IF(A14="","",INT((A14-Profile!$B$15)/7)+1)</x:f>
        <x:v>1</x:v>
      </x:c>
    </x:row>
    <x:row r="15">
      <x:c r="A15" s="52" t="n">
        <x:v>46235</x:v>
      </x:c>
      <x:c r="B15" s="53"/>
      <x:c r="C15" s="53"/>
      <x:c r="D15" s="53"/>
      <x:c r="E15" s="53"/>
      <x:c r="F15" s="53"/>
      <x:c r="G15" s="53"/>
      <x:c r="H15" s="53"/>
      <x:c r="I15" s="53"/>
      <x:c r="J15" s="53"/>
      <x:c r="K15" s="53" t="str"/>
      <x:c r="L15" s="53" t="str"/>
      <x:c r="M15" s="53" t="str"/>
      <x:c r="N15" s="45" t="str">
        <x:f>IF(D15="","",D15-Profile!$E$11)</x:f>
      </x:c>
      <x:c r="O15" s="56" t="str">
        <x:f>IF(E15="","",E15/Profile!$E$12)</x:f>
      </x:c>
      <x:c r="P15" s="58" t="str">
        <x:f>IF(COUNT(INDEX($B:$B,MAX(4,ROW()-6)):B15)=0,"",AVERAGE(INDEX($B:$B,MAX(4,ROW()-6)):B15))</x:f>
      </x:c>
      <x:c r="Q15" s="56" t="str">
        <x:f>IF(OR(D15="",E15=""),"",IF(AND(ABS(N15)&lt;=150,O15&gt;=0.9),1,0))</x:f>
      </x:c>
      <x:c r="R15" s="56" t="n">
        <x:f>IF(L15="Да",1,IF(L15="Частично",0.5,0))</x:f>
        <x:v>0</x:v>
      </x:c>
      <x:c r="S15" s="45" t="n">
        <x:f>IF(A15="","",INT((A15-Profile!$B$15)/7)+1)</x:f>
        <x:v>1</x:v>
      </x:c>
    </x:row>
    <x:row r="16">
      <x:c r="A16" s="52" t="n">
        <x:v>46236</x:v>
      </x:c>
      <x:c r="B16" s="53"/>
      <x:c r="C16" s="53"/>
      <x:c r="D16" s="53"/>
      <x:c r="E16" s="53"/>
      <x:c r="F16" s="53"/>
      <x:c r="G16" s="53"/>
      <x:c r="H16" s="53"/>
      <x:c r="I16" s="53"/>
      <x:c r="J16" s="53"/>
      <x:c r="K16" s="53" t="str"/>
      <x:c r="L16" s="53" t="str"/>
      <x:c r="M16" s="53" t="str"/>
      <x:c r="N16" s="45" t="str">
        <x:f>IF(D16="","",D16-Profile!$E$11)</x:f>
      </x:c>
      <x:c r="O16" s="56" t="str">
        <x:f>IF(E16="","",E16/Profile!$E$12)</x:f>
      </x:c>
      <x:c r="P16" s="58" t="str">
        <x:f>IF(COUNT(INDEX($B:$B,MAX(4,ROW()-6)):B16)=0,"",AVERAGE(INDEX($B:$B,MAX(4,ROW()-6)):B16))</x:f>
      </x:c>
      <x:c r="Q16" s="56" t="str">
        <x:f>IF(OR(D16="",E16=""),"",IF(AND(ABS(N16)&lt;=150,O16&gt;=0.9),1,0))</x:f>
      </x:c>
      <x:c r="R16" s="56" t="n">
        <x:f>IF(L16="Да",1,IF(L16="Частично",0.5,0))</x:f>
        <x:v>0</x:v>
      </x:c>
      <x:c r="S16" s="45" t="n">
        <x:f>IF(A16="","",INT((A16-Profile!$B$15)/7)+1)</x:f>
        <x:v>1</x:v>
      </x:c>
    </x:row>
    <x:row r="17">
      <x:c r="A17" s="52" t="n">
        <x:v>46237</x:v>
      </x:c>
      <x:c r="B17" s="53"/>
      <x:c r="C17" s="53"/>
      <x:c r="D17" s="53"/>
      <x:c r="E17" s="53"/>
      <x:c r="F17" s="53"/>
      <x:c r="G17" s="53"/>
      <x:c r="H17" s="53"/>
      <x:c r="I17" s="53"/>
      <x:c r="J17" s="53"/>
      <x:c r="K17" s="53" t="str"/>
      <x:c r="L17" s="53" t="str"/>
      <x:c r="M17" s="53" t="str"/>
      <x:c r="N17" s="45" t="str">
        <x:f>IF(D17="","",D17-Profile!$E$11)</x:f>
      </x:c>
      <x:c r="O17" s="56" t="str">
        <x:f>IF(E17="","",E17/Profile!$E$12)</x:f>
      </x:c>
      <x:c r="P17" s="58" t="str">
        <x:f>IF(COUNT(INDEX($B:$B,MAX(4,ROW()-6)):B17)=0,"",AVERAGE(INDEX($B:$B,MAX(4,ROW()-6)):B17))</x:f>
      </x:c>
      <x:c r="Q17" s="56" t="str">
        <x:f>IF(OR(D17="",E17=""),"",IF(AND(ABS(N17)&lt;=150,O17&gt;=0.9),1,0))</x:f>
      </x:c>
      <x:c r="R17" s="56" t="n">
        <x:f>IF(L17="Да",1,IF(L17="Частично",0.5,0))</x:f>
        <x:v>0</x:v>
      </x:c>
      <x:c r="S17" s="45" t="n">
        <x:f>IF(A17="","",INT((A17-Profile!$B$15)/7)+1)</x:f>
        <x:v>2</x:v>
      </x:c>
    </x:row>
    <x:row r="18">
      <x:c r="A18" s="52" t="n">
        <x:v>46238</x:v>
      </x:c>
      <x:c r="B18" s="53"/>
      <x:c r="C18" s="53"/>
      <x:c r="D18" s="53"/>
      <x:c r="E18" s="53"/>
      <x:c r="F18" s="53"/>
      <x:c r="G18" s="53"/>
      <x:c r="H18" s="53"/>
      <x:c r="I18" s="53"/>
      <x:c r="J18" s="53"/>
      <x:c r="K18" s="53" t="str"/>
      <x:c r="L18" s="53" t="str"/>
      <x:c r="M18" s="53" t="str"/>
      <x:c r="N18" s="45" t="str">
        <x:f>IF(D18="","",D18-Profile!$E$11)</x:f>
      </x:c>
      <x:c r="O18" s="56" t="str">
        <x:f>IF(E18="","",E18/Profile!$E$12)</x:f>
      </x:c>
      <x:c r="P18" s="58" t="str">
        <x:f>IF(COUNT(INDEX($B:$B,MAX(4,ROW()-6)):B18)=0,"",AVERAGE(INDEX($B:$B,MAX(4,ROW()-6)):B18))</x:f>
      </x:c>
      <x:c r="Q18" s="56" t="str">
        <x:f>IF(OR(D18="",E18=""),"",IF(AND(ABS(N18)&lt;=150,O18&gt;=0.9),1,0))</x:f>
      </x:c>
      <x:c r="R18" s="56" t="n">
        <x:f>IF(L18="Да",1,IF(L18="Частично",0.5,0))</x:f>
        <x:v>0</x:v>
      </x:c>
      <x:c r="S18" s="45" t="n">
        <x:f>IF(A18="","",INT((A18-Profile!$B$15)/7)+1)</x:f>
        <x:v>2</x:v>
      </x:c>
    </x:row>
    <x:row r="19">
      <x:c r="A19" s="52" t="n">
        <x:v>46239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53" t="str"/>
      <x:c r="L19" s="53" t="str"/>
      <x:c r="M19" s="53" t="str"/>
      <x:c r="N19" s="45" t="str">
        <x:f>IF(D19="","",D19-Profile!$E$11)</x:f>
      </x:c>
      <x:c r="O19" s="56" t="str">
        <x:f>IF(E19="","",E19/Profile!$E$12)</x:f>
      </x:c>
      <x:c r="P19" s="58" t="str">
        <x:f>IF(COUNT(INDEX($B:$B,MAX(4,ROW()-6)):B19)=0,"",AVERAGE(INDEX($B:$B,MAX(4,ROW()-6)):B19))</x:f>
      </x:c>
      <x:c r="Q19" s="56" t="str">
        <x:f>IF(OR(D19="",E19=""),"",IF(AND(ABS(N19)&lt;=150,O19&gt;=0.9),1,0))</x:f>
      </x:c>
      <x:c r="R19" s="56" t="n">
        <x:f>IF(L19="Да",1,IF(L19="Частично",0.5,0))</x:f>
        <x:v>0</x:v>
      </x:c>
      <x:c r="S19" s="45" t="n">
        <x:f>IF(A19="","",INT((A19-Profile!$B$15)/7)+1)</x:f>
        <x:v>2</x:v>
      </x:c>
    </x:row>
    <x:row r="20">
      <x:c r="A20" s="52" t="n">
        <x:v>46240</x:v>
      </x:c>
      <x:c r="B20" s="53"/>
      <x:c r="C20" s="53"/>
      <x:c r="D20" s="53"/>
      <x:c r="E20" s="53"/>
      <x:c r="F20" s="53"/>
      <x:c r="G20" s="53"/>
      <x:c r="H20" s="53"/>
      <x:c r="I20" s="53"/>
      <x:c r="J20" s="53"/>
      <x:c r="K20" s="53" t="str"/>
      <x:c r="L20" s="53" t="str"/>
      <x:c r="M20" s="53" t="str"/>
      <x:c r="N20" s="45" t="str">
        <x:f>IF(D20="","",D20-Profile!$E$11)</x:f>
      </x:c>
      <x:c r="O20" s="56" t="str">
        <x:f>IF(E20="","",E20/Profile!$E$12)</x:f>
      </x:c>
      <x:c r="P20" s="58" t="str">
        <x:f>IF(COUNT(INDEX($B:$B,MAX(4,ROW()-6)):B20)=0,"",AVERAGE(INDEX($B:$B,MAX(4,ROW()-6)):B20))</x:f>
      </x:c>
      <x:c r="Q20" s="56" t="str">
        <x:f>IF(OR(D20="",E20=""),"",IF(AND(ABS(N20)&lt;=150,O20&gt;=0.9),1,0))</x:f>
      </x:c>
      <x:c r="R20" s="56" t="n">
        <x:f>IF(L20="Да",1,IF(L20="Частично",0.5,0))</x:f>
        <x:v>0</x:v>
      </x:c>
      <x:c r="S20" s="45" t="n">
        <x:f>IF(A20="","",INT((A20-Profile!$B$15)/7)+1)</x:f>
        <x:v>2</x:v>
      </x:c>
    </x:row>
    <x:row r="21">
      <x:c r="A21" s="52" t="n">
        <x:v>46241</x:v>
      </x:c>
      <x:c r="B21" s="53"/>
      <x:c r="C21" s="53"/>
      <x:c r="D21" s="53"/>
      <x:c r="E21" s="53"/>
      <x:c r="F21" s="53"/>
      <x:c r="G21" s="53"/>
      <x:c r="H21" s="53"/>
      <x:c r="I21" s="53"/>
      <x:c r="J21" s="53"/>
      <x:c r="K21" s="53" t="str"/>
      <x:c r="L21" s="53" t="str"/>
      <x:c r="M21" s="53" t="str"/>
      <x:c r="N21" s="45" t="str">
        <x:f>IF(D21="","",D21-Profile!$E$11)</x:f>
      </x:c>
      <x:c r="O21" s="56" t="str">
        <x:f>IF(E21="","",E21/Profile!$E$12)</x:f>
      </x:c>
      <x:c r="P21" s="58" t="str">
        <x:f>IF(COUNT(INDEX($B:$B,MAX(4,ROW()-6)):B21)=0,"",AVERAGE(INDEX($B:$B,MAX(4,ROW()-6)):B21))</x:f>
      </x:c>
      <x:c r="Q21" s="56" t="str">
        <x:f>IF(OR(D21="",E21=""),"",IF(AND(ABS(N21)&lt;=150,O21&gt;=0.9),1,0))</x:f>
      </x:c>
      <x:c r="R21" s="56" t="n">
        <x:f>IF(L21="Да",1,IF(L21="Частично",0.5,0))</x:f>
        <x:v>0</x:v>
      </x:c>
      <x:c r="S21" s="45" t="n">
        <x:f>IF(A21="","",INT((A21-Profile!$B$15)/7)+1)</x:f>
        <x:v>2</x:v>
      </x:c>
    </x:row>
    <x:row r="22">
      <x:c r="A22" s="52" t="n">
        <x:v>46242</x:v>
      </x:c>
      <x:c r="B22" s="53"/>
      <x:c r="C22" s="53"/>
      <x:c r="D22" s="53"/>
      <x:c r="E22" s="53"/>
      <x:c r="F22" s="53"/>
      <x:c r="G22" s="53"/>
      <x:c r="H22" s="53"/>
      <x:c r="I22" s="53"/>
      <x:c r="J22" s="53"/>
      <x:c r="K22" s="53" t="str"/>
      <x:c r="L22" s="53" t="str"/>
      <x:c r="M22" s="53" t="str"/>
      <x:c r="N22" s="45" t="str">
        <x:f>IF(D22="","",D22-Profile!$E$11)</x:f>
      </x:c>
      <x:c r="O22" s="56" t="str">
        <x:f>IF(E22="","",E22/Profile!$E$12)</x:f>
      </x:c>
      <x:c r="P22" s="58" t="str">
        <x:f>IF(COUNT(INDEX($B:$B,MAX(4,ROW()-6)):B22)=0,"",AVERAGE(INDEX($B:$B,MAX(4,ROW()-6)):B22))</x:f>
      </x:c>
      <x:c r="Q22" s="56" t="str">
        <x:f>IF(OR(D22="",E22=""),"",IF(AND(ABS(N22)&lt;=150,O22&gt;=0.9),1,0))</x:f>
      </x:c>
      <x:c r="R22" s="56" t="n">
        <x:f>IF(L22="Да",1,IF(L22="Частично",0.5,0))</x:f>
        <x:v>0</x:v>
      </x:c>
      <x:c r="S22" s="45" t="n">
        <x:f>IF(A22="","",INT((A22-Profile!$B$15)/7)+1)</x:f>
        <x:v>2</x:v>
      </x:c>
    </x:row>
    <x:row r="23">
      <x:c r="A23" s="52" t="n">
        <x:v>46243</x:v>
      </x:c>
      <x:c r="B23" s="53"/>
      <x:c r="C23" s="53"/>
      <x:c r="D23" s="53"/>
      <x:c r="E23" s="53"/>
      <x:c r="F23" s="53"/>
      <x:c r="G23" s="53"/>
      <x:c r="H23" s="53"/>
      <x:c r="I23" s="53"/>
      <x:c r="J23" s="53"/>
      <x:c r="K23" s="53" t="str"/>
      <x:c r="L23" s="53" t="str"/>
      <x:c r="M23" s="53" t="str"/>
      <x:c r="N23" s="45" t="str">
        <x:f>IF(D23="","",D23-Profile!$E$11)</x:f>
      </x:c>
      <x:c r="O23" s="56" t="str">
        <x:f>IF(E23="","",E23/Profile!$E$12)</x:f>
      </x:c>
      <x:c r="P23" s="58" t="str">
        <x:f>IF(COUNT(INDEX($B:$B,MAX(4,ROW()-6)):B23)=0,"",AVERAGE(INDEX($B:$B,MAX(4,ROW()-6)):B23))</x:f>
      </x:c>
      <x:c r="Q23" s="56" t="str">
        <x:f>IF(OR(D23="",E23=""),"",IF(AND(ABS(N23)&lt;=150,O23&gt;=0.9),1,0))</x:f>
      </x:c>
      <x:c r="R23" s="56" t="n">
        <x:f>IF(L23="Да",1,IF(L23="Частично",0.5,0))</x:f>
        <x:v>0</x:v>
      </x:c>
      <x:c r="S23" s="45" t="n">
        <x:f>IF(A23="","",INT((A23-Profile!$B$15)/7)+1)</x:f>
        <x:v>2</x:v>
      </x:c>
    </x:row>
    <x:row r="24">
      <x:c r="A24" s="52" t="n">
        <x:v>46244</x:v>
      </x:c>
      <x:c r="B24" s="53"/>
      <x:c r="C24" s="53"/>
      <x:c r="D24" s="53"/>
      <x:c r="E24" s="53"/>
      <x:c r="F24" s="53"/>
      <x:c r="G24" s="53"/>
      <x:c r="H24" s="53"/>
      <x:c r="I24" s="53"/>
      <x:c r="J24" s="53"/>
      <x:c r="K24" s="53" t="str"/>
      <x:c r="L24" s="53" t="str"/>
      <x:c r="M24" s="53" t="str"/>
      <x:c r="N24" s="45" t="str">
        <x:f>IF(D24="","",D24-Profile!$E$11)</x:f>
      </x:c>
      <x:c r="O24" s="56" t="str">
        <x:f>IF(E24="","",E24/Profile!$E$12)</x:f>
      </x:c>
      <x:c r="P24" s="58" t="str">
        <x:f>IF(COUNT(INDEX($B:$B,MAX(4,ROW()-6)):B24)=0,"",AVERAGE(INDEX($B:$B,MAX(4,ROW()-6)):B24))</x:f>
      </x:c>
      <x:c r="Q24" s="56" t="str">
        <x:f>IF(OR(D24="",E24=""),"",IF(AND(ABS(N24)&lt;=150,O24&gt;=0.9),1,0))</x:f>
      </x:c>
      <x:c r="R24" s="56" t="n">
        <x:f>IF(L24="Да",1,IF(L24="Частично",0.5,0))</x:f>
        <x:v>0</x:v>
      </x:c>
      <x:c r="S24" s="45" t="n">
        <x:f>IF(A24="","",INT((A24-Profile!$B$15)/7)+1)</x:f>
        <x:v>3</x:v>
      </x:c>
    </x:row>
    <x:row r="25">
      <x:c r="A25" s="52" t="n">
        <x:v>46245</x:v>
      </x:c>
      <x:c r="B25" s="53"/>
      <x:c r="C25" s="53"/>
      <x:c r="D25" s="53"/>
      <x:c r="E25" s="53"/>
      <x:c r="F25" s="53"/>
      <x:c r="G25" s="53"/>
      <x:c r="H25" s="53"/>
      <x:c r="I25" s="53"/>
      <x:c r="J25" s="53"/>
      <x:c r="K25" s="53" t="str"/>
      <x:c r="L25" s="53" t="str"/>
      <x:c r="M25" s="53" t="str"/>
      <x:c r="N25" s="45" t="str">
        <x:f>IF(D25="","",D25-Profile!$E$11)</x:f>
      </x:c>
      <x:c r="O25" s="56" t="str">
        <x:f>IF(E25="","",E25/Profile!$E$12)</x:f>
      </x:c>
      <x:c r="P25" s="58" t="str">
        <x:f>IF(COUNT(INDEX($B:$B,MAX(4,ROW()-6)):B25)=0,"",AVERAGE(INDEX($B:$B,MAX(4,ROW()-6)):B25))</x:f>
      </x:c>
      <x:c r="Q25" s="56" t="str">
        <x:f>IF(OR(D25="",E25=""),"",IF(AND(ABS(N25)&lt;=150,O25&gt;=0.9),1,0))</x:f>
      </x:c>
      <x:c r="R25" s="56" t="n">
        <x:f>IF(L25="Да",1,IF(L25="Частично",0.5,0))</x:f>
        <x:v>0</x:v>
      </x:c>
      <x:c r="S25" s="45" t="n">
        <x:f>IF(A25="","",INT((A25-Profile!$B$15)/7)+1)</x:f>
        <x:v>3</x:v>
      </x:c>
    </x:row>
    <x:row r="26">
      <x:c r="A26" s="52" t="n">
        <x:v>46246</x:v>
      </x:c>
      <x:c r="B26" s="53"/>
      <x:c r="C26" s="53"/>
      <x:c r="D26" s="53"/>
      <x:c r="E26" s="53"/>
      <x:c r="F26" s="53"/>
      <x:c r="G26" s="53"/>
      <x:c r="H26" s="53"/>
      <x:c r="I26" s="53"/>
      <x:c r="J26" s="53"/>
      <x:c r="K26" s="53" t="str"/>
      <x:c r="L26" s="53" t="str"/>
      <x:c r="M26" s="53" t="str"/>
      <x:c r="N26" s="45" t="str">
        <x:f>IF(D26="","",D26-Profile!$E$11)</x:f>
      </x:c>
      <x:c r="O26" s="56" t="str">
        <x:f>IF(E26="","",E26/Profile!$E$12)</x:f>
      </x:c>
      <x:c r="P26" s="58" t="str">
        <x:f>IF(COUNT(INDEX($B:$B,MAX(4,ROW()-6)):B26)=0,"",AVERAGE(INDEX($B:$B,MAX(4,ROW()-6)):B26))</x:f>
      </x:c>
      <x:c r="Q26" s="56" t="str">
        <x:f>IF(OR(D26="",E26=""),"",IF(AND(ABS(N26)&lt;=150,O26&gt;=0.9),1,0))</x:f>
      </x:c>
      <x:c r="R26" s="56" t="n">
        <x:f>IF(L26="Да",1,IF(L26="Частично",0.5,0))</x:f>
        <x:v>0</x:v>
      </x:c>
      <x:c r="S26" s="45" t="n">
        <x:f>IF(A26="","",INT((A26-Profile!$B$15)/7)+1)</x:f>
        <x:v>3</x:v>
      </x:c>
    </x:row>
    <x:row r="27">
      <x:c r="A27" s="52" t="n">
        <x:v>46247</x:v>
      </x:c>
      <x:c r="B27" s="53"/>
      <x:c r="C27" s="53"/>
      <x:c r="D27" s="53"/>
      <x:c r="E27" s="53"/>
      <x:c r="F27" s="53"/>
      <x:c r="G27" s="53"/>
      <x:c r="H27" s="53"/>
      <x:c r="I27" s="53"/>
      <x:c r="J27" s="53"/>
      <x:c r="K27" s="53" t="str"/>
      <x:c r="L27" s="53" t="str"/>
      <x:c r="M27" s="53" t="str"/>
      <x:c r="N27" s="45" t="str">
        <x:f>IF(D27="","",D27-Profile!$E$11)</x:f>
      </x:c>
      <x:c r="O27" s="56" t="str">
        <x:f>IF(E27="","",E27/Profile!$E$12)</x:f>
      </x:c>
      <x:c r="P27" s="58" t="str">
        <x:f>IF(COUNT(INDEX($B:$B,MAX(4,ROW()-6)):B27)=0,"",AVERAGE(INDEX($B:$B,MAX(4,ROW()-6)):B27))</x:f>
      </x:c>
      <x:c r="Q27" s="56" t="str">
        <x:f>IF(OR(D27="",E27=""),"",IF(AND(ABS(N27)&lt;=150,O27&gt;=0.9),1,0))</x:f>
      </x:c>
      <x:c r="R27" s="56" t="n">
        <x:f>IF(L27="Да",1,IF(L27="Частично",0.5,0))</x:f>
        <x:v>0</x:v>
      </x:c>
      <x:c r="S27" s="45" t="n">
        <x:f>IF(A27="","",INT((A27-Profile!$B$15)/7)+1)</x:f>
        <x:v>3</x:v>
      </x:c>
    </x:row>
    <x:row r="28">
      <x:c r="A28" s="52" t="n">
        <x:v>46248</x:v>
      </x:c>
      <x:c r="B28" s="53"/>
      <x:c r="C28" s="53"/>
      <x:c r="D28" s="53"/>
      <x:c r="E28" s="53"/>
      <x:c r="F28" s="53"/>
      <x:c r="G28" s="53"/>
      <x:c r="H28" s="53"/>
      <x:c r="I28" s="53"/>
      <x:c r="J28" s="53"/>
      <x:c r="K28" s="53" t="str"/>
      <x:c r="L28" s="53" t="str"/>
      <x:c r="M28" s="53" t="str"/>
      <x:c r="N28" s="45" t="str">
        <x:f>IF(D28="","",D28-Profile!$E$11)</x:f>
      </x:c>
      <x:c r="O28" s="56" t="str">
        <x:f>IF(E28="","",E28/Profile!$E$12)</x:f>
      </x:c>
      <x:c r="P28" s="58" t="str">
        <x:f>IF(COUNT(INDEX($B:$B,MAX(4,ROW()-6)):B28)=0,"",AVERAGE(INDEX($B:$B,MAX(4,ROW()-6)):B28))</x:f>
      </x:c>
      <x:c r="Q28" s="56" t="str">
        <x:f>IF(OR(D28="",E28=""),"",IF(AND(ABS(N28)&lt;=150,O28&gt;=0.9),1,0))</x:f>
      </x:c>
      <x:c r="R28" s="56" t="n">
        <x:f>IF(L28="Да",1,IF(L28="Частично",0.5,0))</x:f>
        <x:v>0</x:v>
      </x:c>
      <x:c r="S28" s="45" t="n">
        <x:f>IF(A28="","",INT((A28-Profile!$B$15)/7)+1)</x:f>
        <x:v>3</x:v>
      </x:c>
    </x:row>
    <x:row r="29">
      <x:c r="A29" s="52" t="n">
        <x:v>46249</x:v>
      </x:c>
      <x:c r="B29" s="53"/>
      <x:c r="C29" s="53"/>
      <x:c r="D29" s="53"/>
      <x:c r="E29" s="53"/>
      <x:c r="F29" s="53"/>
      <x:c r="G29" s="53"/>
      <x:c r="H29" s="53"/>
      <x:c r="I29" s="53"/>
      <x:c r="J29" s="53"/>
      <x:c r="K29" s="53" t="str"/>
      <x:c r="L29" s="53" t="str"/>
      <x:c r="M29" s="53" t="str"/>
      <x:c r="N29" s="45" t="str">
        <x:f>IF(D29="","",D29-Profile!$E$11)</x:f>
      </x:c>
      <x:c r="O29" s="56" t="str">
        <x:f>IF(E29="","",E29/Profile!$E$12)</x:f>
      </x:c>
      <x:c r="P29" s="58" t="str">
        <x:f>IF(COUNT(INDEX($B:$B,MAX(4,ROW()-6)):B29)=0,"",AVERAGE(INDEX($B:$B,MAX(4,ROW()-6)):B29))</x:f>
      </x:c>
      <x:c r="Q29" s="56" t="str">
        <x:f>IF(OR(D29="",E29=""),"",IF(AND(ABS(N29)&lt;=150,O29&gt;=0.9),1,0))</x:f>
      </x:c>
      <x:c r="R29" s="56" t="n">
        <x:f>IF(L29="Да",1,IF(L29="Частично",0.5,0))</x:f>
        <x:v>0</x:v>
      </x:c>
      <x:c r="S29" s="45" t="n">
        <x:f>IF(A29="","",INT((A29-Profile!$B$15)/7)+1)</x:f>
        <x:v>3</x:v>
      </x:c>
    </x:row>
    <x:row r="30">
      <x:c r="A30" s="52" t="n">
        <x:v>46250</x:v>
      </x:c>
      <x:c r="B30" s="53"/>
      <x:c r="C30" s="53"/>
      <x:c r="D30" s="53"/>
      <x:c r="E30" s="53"/>
      <x:c r="F30" s="53"/>
      <x:c r="G30" s="53"/>
      <x:c r="H30" s="53"/>
      <x:c r="I30" s="53"/>
      <x:c r="J30" s="53"/>
      <x:c r="K30" s="53" t="str"/>
      <x:c r="L30" s="53" t="str"/>
      <x:c r="M30" s="53" t="str"/>
      <x:c r="N30" s="45" t="str">
        <x:f>IF(D30="","",D30-Profile!$E$11)</x:f>
      </x:c>
      <x:c r="O30" s="56" t="str">
        <x:f>IF(E30="","",E30/Profile!$E$12)</x:f>
      </x:c>
      <x:c r="P30" s="58" t="str">
        <x:f>IF(COUNT(INDEX($B:$B,MAX(4,ROW()-6)):B30)=0,"",AVERAGE(INDEX($B:$B,MAX(4,ROW()-6)):B30))</x:f>
      </x:c>
      <x:c r="Q30" s="56" t="str">
        <x:f>IF(OR(D30="",E30=""),"",IF(AND(ABS(N30)&lt;=150,O30&gt;=0.9),1,0))</x:f>
      </x:c>
      <x:c r="R30" s="56" t="n">
        <x:f>IF(L30="Да",1,IF(L30="Частично",0.5,0))</x:f>
        <x:v>0</x:v>
      </x:c>
      <x:c r="S30" s="45" t="n">
        <x:f>IF(A30="","",INT((A30-Profile!$B$15)/7)+1)</x:f>
        <x:v>3</x:v>
      </x:c>
    </x:row>
    <x:row r="31">
      <x:c r="A31" s="52" t="n">
        <x:v>46251</x:v>
      </x:c>
      <x:c r="B31" s="53"/>
      <x:c r="C31" s="53"/>
      <x:c r="D31" s="53"/>
      <x:c r="E31" s="53"/>
      <x:c r="F31" s="53"/>
      <x:c r="G31" s="53"/>
      <x:c r="H31" s="53"/>
      <x:c r="I31" s="53"/>
      <x:c r="J31" s="53"/>
      <x:c r="K31" s="53" t="str"/>
      <x:c r="L31" s="53" t="str"/>
      <x:c r="M31" s="53" t="str"/>
      <x:c r="N31" s="45" t="str">
        <x:f>IF(D31="","",D31-Profile!$E$11)</x:f>
      </x:c>
      <x:c r="O31" s="56" t="str">
        <x:f>IF(E31="","",E31/Profile!$E$12)</x:f>
      </x:c>
      <x:c r="P31" s="58" t="str">
        <x:f>IF(COUNT(INDEX($B:$B,MAX(4,ROW()-6)):B31)=0,"",AVERAGE(INDEX($B:$B,MAX(4,ROW()-6)):B31))</x:f>
      </x:c>
      <x:c r="Q31" s="56" t="str">
        <x:f>IF(OR(D31="",E31=""),"",IF(AND(ABS(N31)&lt;=150,O31&gt;=0.9),1,0))</x:f>
      </x:c>
      <x:c r="R31" s="56" t="n">
        <x:f>IF(L31="Да",1,IF(L31="Частично",0.5,0))</x:f>
        <x:v>0</x:v>
      </x:c>
      <x:c r="S31" s="45" t="n">
        <x:f>IF(A31="","",INT((A31-Profile!$B$15)/7)+1)</x:f>
        <x:v>4</x:v>
      </x:c>
    </x:row>
    <x:row r="32">
      <x:c r="A32" s="52" t="n">
        <x:v>46252</x:v>
      </x:c>
      <x:c r="B32" s="53"/>
      <x:c r="C32" s="53"/>
      <x:c r="D32" s="53"/>
      <x:c r="E32" s="53"/>
      <x:c r="F32" s="53"/>
      <x:c r="G32" s="53"/>
      <x:c r="H32" s="53"/>
      <x:c r="I32" s="53"/>
      <x:c r="J32" s="53"/>
      <x:c r="K32" s="53" t="str"/>
      <x:c r="L32" s="53" t="str"/>
      <x:c r="M32" s="53" t="str"/>
      <x:c r="N32" s="45" t="str">
        <x:f>IF(D32="","",D32-Profile!$E$11)</x:f>
      </x:c>
      <x:c r="O32" s="56" t="str">
        <x:f>IF(E32="","",E32/Profile!$E$12)</x:f>
      </x:c>
      <x:c r="P32" s="58" t="str">
        <x:f>IF(COUNT(INDEX($B:$B,MAX(4,ROW()-6)):B32)=0,"",AVERAGE(INDEX($B:$B,MAX(4,ROW()-6)):B32))</x:f>
      </x:c>
      <x:c r="Q32" s="56" t="str">
        <x:f>IF(OR(D32="",E32=""),"",IF(AND(ABS(N32)&lt;=150,O32&gt;=0.9),1,0))</x:f>
      </x:c>
      <x:c r="R32" s="56" t="n">
        <x:f>IF(L32="Да",1,IF(L32="Частично",0.5,0))</x:f>
        <x:v>0</x:v>
      </x:c>
      <x:c r="S32" s="45" t="n">
        <x:f>IF(A32="","",INT((A32-Profile!$B$15)/7)+1)</x:f>
        <x:v>4</x:v>
      </x:c>
    </x:row>
    <x:row r="33">
      <x:c r="A33" s="52" t="n">
        <x:v>46253</x:v>
      </x:c>
      <x:c r="B33" s="53"/>
      <x:c r="C33" s="53"/>
      <x:c r="D33" s="53"/>
      <x:c r="E33" s="53"/>
      <x:c r="F33" s="53"/>
      <x:c r="G33" s="53"/>
      <x:c r="H33" s="53"/>
      <x:c r="I33" s="53"/>
      <x:c r="J33" s="53"/>
      <x:c r="K33" s="53" t="str"/>
      <x:c r="L33" s="53" t="str"/>
      <x:c r="M33" s="53" t="str"/>
      <x:c r="N33" s="45" t="str">
        <x:f>IF(D33="","",D33-Profile!$E$11)</x:f>
      </x:c>
      <x:c r="O33" s="56" t="str">
        <x:f>IF(E33="","",E33/Profile!$E$12)</x:f>
      </x:c>
      <x:c r="P33" s="58" t="str">
        <x:f>IF(COUNT(INDEX($B:$B,MAX(4,ROW()-6)):B33)=0,"",AVERAGE(INDEX($B:$B,MAX(4,ROW()-6)):B33))</x:f>
      </x:c>
      <x:c r="Q33" s="56" t="str">
        <x:f>IF(OR(D33="",E33=""),"",IF(AND(ABS(N33)&lt;=150,O33&gt;=0.9),1,0))</x:f>
      </x:c>
      <x:c r="R33" s="56" t="n">
        <x:f>IF(L33="Да",1,IF(L33="Частично",0.5,0))</x:f>
        <x:v>0</x:v>
      </x:c>
      <x:c r="S33" s="45" t="n">
        <x:f>IF(A33="","",INT((A33-Profile!$B$15)/7)+1)</x:f>
        <x:v>4</x:v>
      </x:c>
    </x:row>
    <x:row r="34">
      <x:c r="A34" s="52" t="n">
        <x:v>46254</x:v>
      </x:c>
      <x:c r="B34" s="53"/>
      <x:c r="C34" s="53"/>
      <x:c r="D34" s="53"/>
      <x:c r="E34" s="53"/>
      <x:c r="F34" s="53"/>
      <x:c r="G34" s="53"/>
      <x:c r="H34" s="53"/>
      <x:c r="I34" s="53"/>
      <x:c r="J34" s="53"/>
      <x:c r="K34" s="53" t="str"/>
      <x:c r="L34" s="53" t="str"/>
      <x:c r="M34" s="53" t="str"/>
      <x:c r="N34" s="45" t="str">
        <x:f>IF(D34="","",D34-Profile!$E$11)</x:f>
      </x:c>
      <x:c r="O34" s="56" t="str">
        <x:f>IF(E34="","",E34/Profile!$E$12)</x:f>
      </x:c>
      <x:c r="P34" s="58" t="str">
        <x:f>IF(COUNT(INDEX($B:$B,MAX(4,ROW()-6)):B34)=0,"",AVERAGE(INDEX($B:$B,MAX(4,ROW()-6)):B34))</x:f>
      </x:c>
      <x:c r="Q34" s="56" t="str">
        <x:f>IF(OR(D34="",E34=""),"",IF(AND(ABS(N34)&lt;=150,O34&gt;=0.9),1,0))</x:f>
      </x:c>
      <x:c r="R34" s="56" t="n">
        <x:f>IF(L34="Да",1,IF(L34="Частично",0.5,0))</x:f>
        <x:v>0</x:v>
      </x:c>
      <x:c r="S34" s="45" t="n">
        <x:f>IF(A34="","",INT((A34-Profile!$B$15)/7)+1)</x:f>
        <x:v>4</x:v>
      </x:c>
    </x:row>
    <x:row r="35">
      <x:c r="A35" s="52" t="n">
        <x:v>46255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 t="str"/>
      <x:c r="L35" s="53" t="str"/>
      <x:c r="M35" s="53" t="str"/>
      <x:c r="N35" s="45" t="str">
        <x:f>IF(D35="","",D35-Profile!$E$11)</x:f>
      </x:c>
      <x:c r="O35" s="56" t="str">
        <x:f>IF(E35="","",E35/Profile!$E$12)</x:f>
      </x:c>
      <x:c r="P35" s="58" t="str">
        <x:f>IF(COUNT(INDEX($B:$B,MAX(4,ROW()-6)):B35)=0,"",AVERAGE(INDEX($B:$B,MAX(4,ROW()-6)):B35))</x:f>
      </x:c>
      <x:c r="Q35" s="56" t="str">
        <x:f>IF(OR(D35="",E35=""),"",IF(AND(ABS(N35)&lt;=150,O35&gt;=0.9),1,0))</x:f>
      </x:c>
      <x:c r="R35" s="56" t="n">
        <x:f>IF(L35="Да",1,IF(L35="Частично",0.5,0))</x:f>
        <x:v>0</x:v>
      </x:c>
      <x:c r="S35" s="45" t="n">
        <x:f>IF(A35="","",INT((A35-Profile!$B$15)/7)+1)</x:f>
        <x:v>4</x:v>
      </x:c>
    </x:row>
    <x:row r="36">
      <x:c r="A36" s="52" t="n">
        <x:v>46256</x:v>
      </x:c>
      <x:c r="B36" s="53"/>
      <x:c r="C36" s="53"/>
      <x:c r="D36" s="53"/>
      <x:c r="E36" s="53"/>
      <x:c r="F36" s="53"/>
      <x:c r="G36" s="53"/>
      <x:c r="H36" s="53"/>
      <x:c r="I36" s="53"/>
      <x:c r="J36" s="53"/>
      <x:c r="K36" s="53" t="str"/>
      <x:c r="L36" s="53" t="str"/>
      <x:c r="M36" s="53" t="str"/>
      <x:c r="N36" s="45" t="str">
        <x:f>IF(D36="","",D36-Profile!$E$11)</x:f>
      </x:c>
      <x:c r="O36" s="56" t="str">
        <x:f>IF(E36="","",E36/Profile!$E$12)</x:f>
      </x:c>
      <x:c r="P36" s="58" t="str">
        <x:f>IF(COUNT(INDEX($B:$B,MAX(4,ROW()-6)):B36)=0,"",AVERAGE(INDEX($B:$B,MAX(4,ROW()-6)):B36))</x:f>
      </x:c>
      <x:c r="Q36" s="56" t="str">
        <x:f>IF(OR(D36="",E36=""),"",IF(AND(ABS(N36)&lt;=150,O36&gt;=0.9),1,0))</x:f>
      </x:c>
      <x:c r="R36" s="56" t="n">
        <x:f>IF(L36="Да",1,IF(L36="Частично",0.5,0))</x:f>
        <x:v>0</x:v>
      </x:c>
      <x:c r="S36" s="45" t="n">
        <x:f>IF(A36="","",INT((A36-Profile!$B$15)/7)+1)</x:f>
        <x:v>4</x:v>
      </x:c>
    </x:row>
    <x:row r="37">
      <x:c r="A37" s="52" t="n">
        <x:v>46257</x:v>
      </x:c>
      <x:c r="B37" s="53"/>
      <x:c r="C37" s="53"/>
      <x:c r="D37" s="53"/>
      <x:c r="E37" s="53"/>
      <x:c r="F37" s="53"/>
      <x:c r="G37" s="53"/>
      <x:c r="H37" s="53"/>
      <x:c r="I37" s="53"/>
      <x:c r="J37" s="53"/>
      <x:c r="K37" s="53" t="str"/>
      <x:c r="L37" s="53" t="str"/>
      <x:c r="M37" s="53" t="str"/>
      <x:c r="N37" s="45" t="str">
        <x:f>IF(D37="","",D37-Profile!$E$11)</x:f>
      </x:c>
      <x:c r="O37" s="56" t="str">
        <x:f>IF(E37="","",E37/Profile!$E$12)</x:f>
      </x:c>
      <x:c r="P37" s="58" t="str">
        <x:f>IF(COUNT(INDEX($B:$B,MAX(4,ROW()-6)):B37)=0,"",AVERAGE(INDEX($B:$B,MAX(4,ROW()-6)):B37))</x:f>
      </x:c>
      <x:c r="Q37" s="56" t="str">
        <x:f>IF(OR(D37="",E37=""),"",IF(AND(ABS(N37)&lt;=150,O37&gt;=0.9),1,0))</x:f>
      </x:c>
      <x:c r="R37" s="56" t="n">
        <x:f>IF(L37="Да",1,IF(L37="Частично",0.5,0))</x:f>
        <x:v>0</x:v>
      </x:c>
      <x:c r="S37" s="45" t="n">
        <x:f>IF(A37="","",INT((A37-Profile!$B$15)/7)+1)</x:f>
        <x:v>4</x:v>
      </x:c>
    </x:row>
    <x:row r="38">
      <x:c r="A38" s="52" t="n">
        <x:v>46258</x:v>
      </x:c>
      <x:c r="B38" s="53"/>
      <x:c r="C38" s="53"/>
      <x:c r="D38" s="53"/>
      <x:c r="E38" s="53"/>
      <x:c r="F38" s="53"/>
      <x:c r="G38" s="53"/>
      <x:c r="H38" s="53"/>
      <x:c r="I38" s="53"/>
      <x:c r="J38" s="53"/>
      <x:c r="K38" s="53" t="str"/>
      <x:c r="L38" s="53" t="str"/>
      <x:c r="M38" s="53" t="str"/>
      <x:c r="N38" s="45" t="str">
        <x:f>IF(D38="","",D38-Profile!$E$11)</x:f>
      </x:c>
      <x:c r="O38" s="56" t="str">
        <x:f>IF(E38="","",E38/Profile!$E$12)</x:f>
      </x:c>
      <x:c r="P38" s="58" t="str">
        <x:f>IF(COUNT(INDEX($B:$B,MAX(4,ROW()-6)):B38)=0,"",AVERAGE(INDEX($B:$B,MAX(4,ROW()-6)):B38))</x:f>
      </x:c>
      <x:c r="Q38" s="56" t="str">
        <x:f>IF(OR(D38="",E38=""),"",IF(AND(ABS(N38)&lt;=150,O38&gt;=0.9),1,0))</x:f>
      </x:c>
      <x:c r="R38" s="56" t="n">
        <x:f>IF(L38="Да",1,IF(L38="Частично",0.5,0))</x:f>
        <x:v>0</x:v>
      </x:c>
      <x:c r="S38" s="45" t="n">
        <x:f>IF(A38="","",INT((A38-Profile!$B$15)/7)+1)</x:f>
        <x:v>5</x:v>
      </x:c>
    </x:row>
    <x:row r="39">
      <x:c r="A39" s="52" t="n">
        <x:v>46259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3" t="str"/>
      <x:c r="L39" s="53" t="str"/>
      <x:c r="M39" s="53" t="str"/>
      <x:c r="N39" s="45" t="str">
        <x:f>IF(D39="","",D39-Profile!$E$11)</x:f>
      </x:c>
      <x:c r="O39" s="56" t="str">
        <x:f>IF(E39="","",E39/Profile!$E$12)</x:f>
      </x:c>
      <x:c r="P39" s="58" t="str">
        <x:f>IF(COUNT(INDEX($B:$B,MAX(4,ROW()-6)):B39)=0,"",AVERAGE(INDEX($B:$B,MAX(4,ROW()-6)):B39))</x:f>
      </x:c>
      <x:c r="Q39" s="56" t="str">
        <x:f>IF(OR(D39="",E39=""),"",IF(AND(ABS(N39)&lt;=150,O39&gt;=0.9),1,0))</x:f>
      </x:c>
      <x:c r="R39" s="56" t="n">
        <x:f>IF(L39="Да",1,IF(L39="Частично",0.5,0))</x:f>
        <x:v>0</x:v>
      </x:c>
      <x:c r="S39" s="45" t="n">
        <x:f>IF(A39="","",INT((A39-Profile!$B$15)/7)+1)</x:f>
        <x:v>5</x:v>
      </x:c>
    </x:row>
    <x:row r="40">
      <x:c r="A40" s="52" t="n">
        <x:v>46260</x:v>
      </x:c>
      <x:c r="B40" s="53"/>
      <x:c r="C40" s="53"/>
      <x:c r="D40" s="53"/>
      <x:c r="E40" s="53"/>
      <x:c r="F40" s="53"/>
      <x:c r="G40" s="53"/>
      <x:c r="H40" s="53"/>
      <x:c r="I40" s="53"/>
      <x:c r="J40" s="53"/>
      <x:c r="K40" s="53" t="str"/>
      <x:c r="L40" s="53" t="str"/>
      <x:c r="M40" s="53" t="str"/>
      <x:c r="N40" s="45" t="str">
        <x:f>IF(D40="","",D40-Profile!$E$11)</x:f>
      </x:c>
      <x:c r="O40" s="56" t="str">
        <x:f>IF(E40="","",E40/Profile!$E$12)</x:f>
      </x:c>
      <x:c r="P40" s="58" t="str">
        <x:f>IF(COUNT(INDEX($B:$B,MAX(4,ROW()-6)):B40)=0,"",AVERAGE(INDEX($B:$B,MAX(4,ROW()-6)):B40))</x:f>
      </x:c>
      <x:c r="Q40" s="56" t="str">
        <x:f>IF(OR(D40="",E40=""),"",IF(AND(ABS(N40)&lt;=150,O40&gt;=0.9),1,0))</x:f>
      </x:c>
      <x:c r="R40" s="56" t="n">
        <x:f>IF(L40="Да",1,IF(L40="Частично",0.5,0))</x:f>
        <x:v>0</x:v>
      </x:c>
      <x:c r="S40" s="45" t="n">
        <x:f>IF(A40="","",INT((A40-Profile!$B$15)/7)+1)</x:f>
        <x:v>5</x:v>
      </x:c>
    </x:row>
    <x:row r="41">
      <x:c r="A41" s="52" t="n">
        <x:v>46261</x:v>
      </x:c>
      <x:c r="B41" s="53"/>
      <x:c r="C41" s="53"/>
      <x:c r="D41" s="53"/>
      <x:c r="E41" s="53"/>
      <x:c r="F41" s="53"/>
      <x:c r="G41" s="53"/>
      <x:c r="H41" s="53"/>
      <x:c r="I41" s="53"/>
      <x:c r="J41" s="53"/>
      <x:c r="K41" s="53" t="str"/>
      <x:c r="L41" s="53" t="str"/>
      <x:c r="M41" s="53" t="str"/>
      <x:c r="N41" s="45" t="str">
        <x:f>IF(D41="","",D41-Profile!$E$11)</x:f>
      </x:c>
      <x:c r="O41" s="56" t="str">
        <x:f>IF(E41="","",E41/Profile!$E$12)</x:f>
      </x:c>
      <x:c r="P41" s="58" t="str">
        <x:f>IF(COUNT(INDEX($B:$B,MAX(4,ROW()-6)):B41)=0,"",AVERAGE(INDEX($B:$B,MAX(4,ROW()-6)):B41))</x:f>
      </x:c>
      <x:c r="Q41" s="56" t="str">
        <x:f>IF(OR(D41="",E41=""),"",IF(AND(ABS(N41)&lt;=150,O41&gt;=0.9),1,0))</x:f>
      </x:c>
      <x:c r="R41" s="56" t="n">
        <x:f>IF(L41="Да",1,IF(L41="Частично",0.5,0))</x:f>
        <x:v>0</x:v>
      </x:c>
      <x:c r="S41" s="45" t="n">
        <x:f>IF(A41="","",INT((A41-Profile!$B$15)/7)+1)</x:f>
        <x:v>5</x:v>
      </x:c>
    </x:row>
    <x:row r="42">
      <x:c r="A42" s="52" t="n">
        <x:v>46262</x:v>
      </x:c>
      <x:c r="B42" s="53"/>
      <x:c r="C42" s="53"/>
      <x:c r="D42" s="53"/>
      <x:c r="E42" s="53"/>
      <x:c r="F42" s="53"/>
      <x:c r="G42" s="53"/>
      <x:c r="H42" s="53"/>
      <x:c r="I42" s="53"/>
      <x:c r="J42" s="53"/>
      <x:c r="K42" s="53" t="str"/>
      <x:c r="L42" s="53" t="str"/>
      <x:c r="M42" s="53" t="str"/>
      <x:c r="N42" s="45" t="str">
        <x:f>IF(D42="","",D42-Profile!$E$11)</x:f>
      </x:c>
      <x:c r="O42" s="56" t="str">
        <x:f>IF(E42="","",E42/Profile!$E$12)</x:f>
      </x:c>
      <x:c r="P42" s="58" t="str">
        <x:f>IF(COUNT(INDEX($B:$B,MAX(4,ROW()-6)):B42)=0,"",AVERAGE(INDEX($B:$B,MAX(4,ROW()-6)):B42))</x:f>
      </x:c>
      <x:c r="Q42" s="56" t="str">
        <x:f>IF(OR(D42="",E42=""),"",IF(AND(ABS(N42)&lt;=150,O42&gt;=0.9),1,0))</x:f>
      </x:c>
      <x:c r="R42" s="56" t="n">
        <x:f>IF(L42="Да",1,IF(L42="Частично",0.5,0))</x:f>
        <x:v>0</x:v>
      </x:c>
      <x:c r="S42" s="45" t="n">
        <x:f>IF(A42="","",INT((A42-Profile!$B$15)/7)+1)</x:f>
        <x:v>5</x:v>
      </x:c>
    </x:row>
    <x:row r="43">
      <x:c r="A43" s="52" t="n">
        <x:v>46263</x:v>
      </x:c>
      <x:c r="B43" s="53"/>
      <x:c r="C43" s="53"/>
      <x:c r="D43" s="53"/>
      <x:c r="E43" s="53"/>
      <x:c r="F43" s="53"/>
      <x:c r="G43" s="53"/>
      <x:c r="H43" s="53"/>
      <x:c r="I43" s="53"/>
      <x:c r="J43" s="53"/>
      <x:c r="K43" s="53" t="str"/>
      <x:c r="L43" s="53" t="str"/>
      <x:c r="M43" s="53" t="str"/>
      <x:c r="N43" s="45" t="str">
        <x:f>IF(D43="","",D43-Profile!$E$11)</x:f>
      </x:c>
      <x:c r="O43" s="56" t="str">
        <x:f>IF(E43="","",E43/Profile!$E$12)</x:f>
      </x:c>
      <x:c r="P43" s="58" t="str">
        <x:f>IF(COUNT(INDEX($B:$B,MAX(4,ROW()-6)):B43)=0,"",AVERAGE(INDEX($B:$B,MAX(4,ROW()-6)):B43))</x:f>
      </x:c>
      <x:c r="Q43" s="56" t="str">
        <x:f>IF(OR(D43="",E43=""),"",IF(AND(ABS(N43)&lt;=150,O43&gt;=0.9),1,0))</x:f>
      </x:c>
      <x:c r="R43" s="56" t="n">
        <x:f>IF(L43="Да",1,IF(L43="Частично",0.5,0))</x:f>
        <x:v>0</x:v>
      </x:c>
      <x:c r="S43" s="45" t="n">
        <x:f>IF(A43="","",INT((A43-Profile!$B$15)/7)+1)</x:f>
        <x:v>5</x:v>
      </x:c>
    </x:row>
    <x:row r="44">
      <x:c r="A44" s="52" t="n">
        <x:v>46264</x:v>
      </x:c>
      <x:c r="B44" s="53"/>
      <x:c r="C44" s="53"/>
      <x:c r="D44" s="53"/>
      <x:c r="E44" s="53"/>
      <x:c r="F44" s="53"/>
      <x:c r="G44" s="53"/>
      <x:c r="H44" s="53"/>
      <x:c r="I44" s="53"/>
      <x:c r="J44" s="53"/>
      <x:c r="K44" s="53" t="str"/>
      <x:c r="L44" s="53" t="str"/>
      <x:c r="M44" s="53" t="str"/>
      <x:c r="N44" s="45" t="str">
        <x:f>IF(D44="","",D44-Profile!$E$11)</x:f>
      </x:c>
      <x:c r="O44" s="56" t="str">
        <x:f>IF(E44="","",E44/Profile!$E$12)</x:f>
      </x:c>
      <x:c r="P44" s="58" t="str">
        <x:f>IF(COUNT(INDEX($B:$B,MAX(4,ROW()-6)):B44)=0,"",AVERAGE(INDEX($B:$B,MAX(4,ROW()-6)):B44))</x:f>
      </x:c>
      <x:c r="Q44" s="56" t="str">
        <x:f>IF(OR(D44="",E44=""),"",IF(AND(ABS(N44)&lt;=150,O44&gt;=0.9),1,0))</x:f>
      </x:c>
      <x:c r="R44" s="56" t="n">
        <x:f>IF(L44="Да",1,IF(L44="Частично",0.5,0))</x:f>
        <x:v>0</x:v>
      </x:c>
      <x:c r="S44" s="45" t="n">
        <x:f>IF(A44="","",INT((A44-Profile!$B$15)/7)+1)</x:f>
        <x:v>5</x:v>
      </x:c>
    </x:row>
    <x:row r="45">
      <x:c r="A45" s="52" t="n">
        <x:v>46265</x:v>
      </x:c>
      <x:c r="B45" s="53"/>
      <x:c r="C45" s="53"/>
      <x:c r="D45" s="53"/>
      <x:c r="E45" s="53"/>
      <x:c r="F45" s="53"/>
      <x:c r="G45" s="53"/>
      <x:c r="H45" s="53"/>
      <x:c r="I45" s="53"/>
      <x:c r="J45" s="53"/>
      <x:c r="K45" s="53" t="str"/>
      <x:c r="L45" s="53" t="str"/>
      <x:c r="M45" s="53" t="str"/>
      <x:c r="N45" s="45" t="str">
        <x:f>IF(D45="","",D45-Profile!$E$11)</x:f>
      </x:c>
      <x:c r="O45" s="56" t="str">
        <x:f>IF(E45="","",E45/Profile!$E$12)</x:f>
      </x:c>
      <x:c r="P45" s="58" t="str">
        <x:f>IF(COUNT(INDEX($B:$B,MAX(4,ROW()-6)):B45)=0,"",AVERAGE(INDEX($B:$B,MAX(4,ROW()-6)):B45))</x:f>
      </x:c>
      <x:c r="Q45" s="56" t="str">
        <x:f>IF(OR(D45="",E45=""),"",IF(AND(ABS(N45)&lt;=150,O45&gt;=0.9),1,0))</x:f>
      </x:c>
      <x:c r="R45" s="56" t="n">
        <x:f>IF(L45="Да",1,IF(L45="Частично",0.5,0))</x:f>
        <x:v>0</x:v>
      </x:c>
      <x:c r="S45" s="45" t="n">
        <x:f>IF(A45="","",INT((A45-Profile!$B$15)/7)+1)</x:f>
        <x:v>6</x:v>
      </x:c>
    </x:row>
    <x:row r="46">
      <x:c r="A46" s="52" t="n">
        <x:v>46266</x:v>
      </x:c>
      <x:c r="B46" s="53"/>
      <x:c r="C46" s="53"/>
      <x:c r="D46" s="53"/>
      <x:c r="E46" s="53"/>
      <x:c r="F46" s="53"/>
      <x:c r="G46" s="53"/>
      <x:c r="H46" s="53"/>
      <x:c r="I46" s="53"/>
      <x:c r="J46" s="53"/>
      <x:c r="K46" s="53" t="str"/>
      <x:c r="L46" s="53" t="str"/>
      <x:c r="M46" s="53" t="str"/>
      <x:c r="N46" s="45" t="str">
        <x:f>IF(D46="","",D46-Profile!$E$11)</x:f>
      </x:c>
      <x:c r="O46" s="56" t="str">
        <x:f>IF(E46="","",E46/Profile!$E$12)</x:f>
      </x:c>
      <x:c r="P46" s="58" t="str">
        <x:f>IF(COUNT(INDEX($B:$B,MAX(4,ROW()-6)):B46)=0,"",AVERAGE(INDEX($B:$B,MAX(4,ROW()-6)):B46))</x:f>
      </x:c>
      <x:c r="Q46" s="56" t="str">
        <x:f>IF(OR(D46="",E46=""),"",IF(AND(ABS(N46)&lt;=150,O46&gt;=0.9),1,0))</x:f>
      </x:c>
      <x:c r="R46" s="56" t="n">
        <x:f>IF(L46="Да",1,IF(L46="Частично",0.5,0))</x:f>
        <x:v>0</x:v>
      </x:c>
      <x:c r="S46" s="45" t="n">
        <x:f>IF(A46="","",INT((A46-Profile!$B$15)/7)+1)</x:f>
        <x:v>6</x:v>
      </x:c>
    </x:row>
    <x:row r="47">
      <x:c r="A47" s="52" t="n">
        <x:v>46267</x:v>
      </x:c>
      <x:c r="B47" s="53"/>
      <x:c r="C47" s="53"/>
      <x:c r="D47" s="53"/>
      <x:c r="E47" s="53"/>
      <x:c r="F47" s="53"/>
      <x:c r="G47" s="53"/>
      <x:c r="H47" s="53"/>
      <x:c r="I47" s="53"/>
      <x:c r="J47" s="53"/>
      <x:c r="K47" s="53" t="str"/>
      <x:c r="L47" s="53" t="str"/>
      <x:c r="M47" s="53" t="str"/>
      <x:c r="N47" s="45" t="str">
        <x:f>IF(D47="","",D47-Profile!$E$11)</x:f>
      </x:c>
      <x:c r="O47" s="56" t="str">
        <x:f>IF(E47="","",E47/Profile!$E$12)</x:f>
      </x:c>
      <x:c r="P47" s="58" t="str">
        <x:f>IF(COUNT(INDEX($B:$B,MAX(4,ROW()-6)):B47)=0,"",AVERAGE(INDEX($B:$B,MAX(4,ROW()-6)):B47))</x:f>
      </x:c>
      <x:c r="Q47" s="56" t="str">
        <x:f>IF(OR(D47="",E47=""),"",IF(AND(ABS(N47)&lt;=150,O47&gt;=0.9),1,0))</x:f>
      </x:c>
      <x:c r="R47" s="56" t="n">
        <x:f>IF(L47="Да",1,IF(L47="Частично",0.5,0))</x:f>
        <x:v>0</x:v>
      </x:c>
      <x:c r="S47" s="45" t="n">
        <x:f>IF(A47="","",INT((A47-Profile!$B$15)/7)+1)</x:f>
        <x:v>6</x:v>
      </x:c>
    </x:row>
    <x:row r="48">
      <x:c r="A48" s="52" t="n">
        <x:v>46268</x:v>
      </x:c>
      <x:c r="B48" s="53"/>
      <x:c r="C48" s="53"/>
      <x:c r="D48" s="53"/>
      <x:c r="E48" s="53"/>
      <x:c r="F48" s="53"/>
      <x:c r="G48" s="53"/>
      <x:c r="H48" s="53"/>
      <x:c r="I48" s="53"/>
      <x:c r="J48" s="53"/>
      <x:c r="K48" s="53" t="str"/>
      <x:c r="L48" s="53" t="str"/>
      <x:c r="M48" s="53" t="str"/>
      <x:c r="N48" s="45" t="str">
        <x:f>IF(D48="","",D48-Profile!$E$11)</x:f>
      </x:c>
      <x:c r="O48" s="56" t="str">
        <x:f>IF(E48="","",E48/Profile!$E$12)</x:f>
      </x:c>
      <x:c r="P48" s="58" t="str">
        <x:f>IF(COUNT(INDEX($B:$B,MAX(4,ROW()-6)):B48)=0,"",AVERAGE(INDEX($B:$B,MAX(4,ROW()-6)):B48))</x:f>
      </x:c>
      <x:c r="Q48" s="56" t="str">
        <x:f>IF(OR(D48="",E48=""),"",IF(AND(ABS(N48)&lt;=150,O48&gt;=0.9),1,0))</x:f>
      </x:c>
      <x:c r="R48" s="56" t="n">
        <x:f>IF(L48="Да",1,IF(L48="Частично",0.5,0))</x:f>
        <x:v>0</x:v>
      </x:c>
      <x:c r="S48" s="45" t="n">
        <x:f>IF(A48="","",INT((A48-Profile!$B$15)/7)+1)</x:f>
        <x:v>6</x:v>
      </x:c>
    </x:row>
    <x:row r="49">
      <x:c r="A49" s="52" t="n">
        <x:v>46269</x:v>
      </x:c>
      <x:c r="B49" s="53"/>
      <x:c r="C49" s="53"/>
      <x:c r="D49" s="53"/>
      <x:c r="E49" s="53"/>
      <x:c r="F49" s="53"/>
      <x:c r="G49" s="53"/>
      <x:c r="H49" s="53"/>
      <x:c r="I49" s="53"/>
      <x:c r="J49" s="53"/>
      <x:c r="K49" s="53" t="str"/>
      <x:c r="L49" s="53" t="str"/>
      <x:c r="M49" s="53" t="str"/>
      <x:c r="N49" s="45" t="str">
        <x:f>IF(D49="","",D49-Profile!$E$11)</x:f>
      </x:c>
      <x:c r="O49" s="56" t="str">
        <x:f>IF(E49="","",E49/Profile!$E$12)</x:f>
      </x:c>
      <x:c r="P49" s="58" t="str">
        <x:f>IF(COUNT(INDEX($B:$B,MAX(4,ROW()-6)):B49)=0,"",AVERAGE(INDEX($B:$B,MAX(4,ROW()-6)):B49))</x:f>
      </x:c>
      <x:c r="Q49" s="56" t="str">
        <x:f>IF(OR(D49="",E49=""),"",IF(AND(ABS(N49)&lt;=150,O49&gt;=0.9),1,0))</x:f>
      </x:c>
      <x:c r="R49" s="56" t="n">
        <x:f>IF(L49="Да",1,IF(L49="Частично",0.5,0))</x:f>
        <x:v>0</x:v>
      </x:c>
      <x:c r="S49" s="45" t="n">
        <x:f>IF(A49="","",INT((A49-Profile!$B$15)/7)+1)</x:f>
        <x:v>6</x:v>
      </x:c>
    </x:row>
    <x:row r="50">
      <x:c r="A50" s="52" t="n">
        <x:v>46270</x:v>
      </x:c>
      <x:c r="B50" s="53"/>
      <x:c r="C50" s="53"/>
      <x:c r="D50" s="53"/>
      <x:c r="E50" s="53"/>
      <x:c r="F50" s="53"/>
      <x:c r="G50" s="53"/>
      <x:c r="H50" s="53"/>
      <x:c r="I50" s="53"/>
      <x:c r="J50" s="53"/>
      <x:c r="K50" s="53" t="str"/>
      <x:c r="L50" s="53" t="str"/>
      <x:c r="M50" s="53" t="str"/>
      <x:c r="N50" s="45" t="str">
        <x:f>IF(D50="","",D50-Profile!$E$11)</x:f>
      </x:c>
      <x:c r="O50" s="56" t="str">
        <x:f>IF(E50="","",E50/Profile!$E$12)</x:f>
      </x:c>
      <x:c r="P50" s="58" t="str">
        <x:f>IF(COUNT(INDEX($B:$B,MAX(4,ROW()-6)):B50)=0,"",AVERAGE(INDEX($B:$B,MAX(4,ROW()-6)):B50))</x:f>
      </x:c>
      <x:c r="Q50" s="56" t="str">
        <x:f>IF(OR(D50="",E50=""),"",IF(AND(ABS(N50)&lt;=150,O50&gt;=0.9),1,0))</x:f>
      </x:c>
      <x:c r="R50" s="56" t="n">
        <x:f>IF(L50="Да",1,IF(L50="Частично",0.5,0))</x:f>
        <x:v>0</x:v>
      </x:c>
      <x:c r="S50" s="45" t="n">
        <x:f>IF(A50="","",INT((A50-Profile!$B$15)/7)+1)</x:f>
        <x:v>6</x:v>
      </x:c>
    </x:row>
    <x:row r="51">
      <x:c r="A51" s="52" t="n">
        <x:v>46271</x:v>
      </x:c>
      <x:c r="B51" s="53"/>
      <x:c r="C51" s="53"/>
      <x:c r="D51" s="53"/>
      <x:c r="E51" s="53"/>
      <x:c r="F51" s="53"/>
      <x:c r="G51" s="53"/>
      <x:c r="H51" s="53"/>
      <x:c r="I51" s="53"/>
      <x:c r="J51" s="53"/>
      <x:c r="K51" s="53" t="str"/>
      <x:c r="L51" s="53" t="str"/>
      <x:c r="M51" s="53" t="str"/>
      <x:c r="N51" s="45" t="str">
        <x:f>IF(D51="","",D51-Profile!$E$11)</x:f>
      </x:c>
      <x:c r="O51" s="56" t="str">
        <x:f>IF(E51="","",E51/Profile!$E$12)</x:f>
      </x:c>
      <x:c r="P51" s="58" t="str">
        <x:f>IF(COUNT(INDEX($B:$B,MAX(4,ROW()-6)):B51)=0,"",AVERAGE(INDEX($B:$B,MAX(4,ROW()-6)):B51))</x:f>
      </x:c>
      <x:c r="Q51" s="56" t="str">
        <x:f>IF(OR(D51="",E51=""),"",IF(AND(ABS(N51)&lt;=150,O51&gt;=0.9),1,0))</x:f>
      </x:c>
      <x:c r="R51" s="56" t="n">
        <x:f>IF(L51="Да",1,IF(L51="Частично",0.5,0))</x:f>
        <x:v>0</x:v>
      </x:c>
      <x:c r="S51" s="45" t="n">
        <x:f>IF(A51="","",INT((A51-Profile!$B$15)/7)+1)</x:f>
        <x:v>6</x:v>
      </x:c>
    </x:row>
    <x:row r="52">
      <x:c r="A52" s="52" t="n">
        <x:v>46272</x:v>
      </x:c>
      <x:c r="B52" s="53"/>
      <x:c r="C52" s="53"/>
      <x:c r="D52" s="53"/>
      <x:c r="E52" s="53"/>
      <x:c r="F52" s="53"/>
      <x:c r="G52" s="53"/>
      <x:c r="H52" s="53"/>
      <x:c r="I52" s="53"/>
      <x:c r="J52" s="53"/>
      <x:c r="K52" s="53" t="str"/>
      <x:c r="L52" s="53" t="str"/>
      <x:c r="M52" s="53" t="str"/>
      <x:c r="N52" s="45" t="str">
        <x:f>IF(D52="","",D52-Profile!$E$11)</x:f>
      </x:c>
      <x:c r="O52" s="56" t="str">
        <x:f>IF(E52="","",E52/Profile!$E$12)</x:f>
      </x:c>
      <x:c r="P52" s="58" t="str">
        <x:f>IF(COUNT(INDEX($B:$B,MAX(4,ROW()-6)):B52)=0,"",AVERAGE(INDEX($B:$B,MAX(4,ROW()-6)):B52))</x:f>
      </x:c>
      <x:c r="Q52" s="56" t="str">
        <x:f>IF(OR(D52="",E52=""),"",IF(AND(ABS(N52)&lt;=150,O52&gt;=0.9),1,0))</x:f>
      </x:c>
      <x:c r="R52" s="56" t="n">
        <x:f>IF(L52="Да",1,IF(L52="Частично",0.5,0))</x:f>
        <x:v>0</x:v>
      </x:c>
      <x:c r="S52" s="45" t="n">
        <x:f>IF(A52="","",INT((A52-Profile!$B$15)/7)+1)</x:f>
        <x:v>7</x:v>
      </x:c>
    </x:row>
    <x:row r="53">
      <x:c r="A53" s="52" t="n">
        <x:v>46273</x:v>
      </x:c>
      <x:c r="B53" s="53"/>
      <x:c r="C53" s="53"/>
      <x:c r="D53" s="53"/>
      <x:c r="E53" s="53"/>
      <x:c r="F53" s="53"/>
      <x:c r="G53" s="53"/>
      <x:c r="H53" s="53"/>
      <x:c r="I53" s="53"/>
      <x:c r="J53" s="53"/>
      <x:c r="K53" s="53" t="str"/>
      <x:c r="L53" s="53" t="str"/>
      <x:c r="M53" s="53" t="str"/>
      <x:c r="N53" s="45" t="str">
        <x:f>IF(D53="","",D53-Profile!$E$11)</x:f>
      </x:c>
      <x:c r="O53" s="56" t="str">
        <x:f>IF(E53="","",E53/Profile!$E$12)</x:f>
      </x:c>
      <x:c r="P53" s="58" t="str">
        <x:f>IF(COUNT(INDEX($B:$B,MAX(4,ROW()-6)):B53)=0,"",AVERAGE(INDEX($B:$B,MAX(4,ROW()-6)):B53))</x:f>
      </x:c>
      <x:c r="Q53" s="56" t="str">
        <x:f>IF(OR(D53="",E53=""),"",IF(AND(ABS(N53)&lt;=150,O53&gt;=0.9),1,0))</x:f>
      </x:c>
      <x:c r="R53" s="56" t="n">
        <x:f>IF(L53="Да",1,IF(L53="Частично",0.5,0))</x:f>
        <x:v>0</x:v>
      </x:c>
      <x:c r="S53" s="45" t="n">
        <x:f>IF(A53="","",INT((A53-Profile!$B$15)/7)+1)</x:f>
        <x:v>7</x:v>
      </x:c>
    </x:row>
    <x:row r="54">
      <x:c r="A54" s="52" t="n">
        <x:v>46274</x:v>
      </x:c>
      <x:c r="B54" s="53"/>
      <x:c r="C54" s="53"/>
      <x:c r="D54" s="53"/>
      <x:c r="E54" s="53"/>
      <x:c r="F54" s="53"/>
      <x:c r="G54" s="53"/>
      <x:c r="H54" s="53"/>
      <x:c r="I54" s="53"/>
      <x:c r="J54" s="53"/>
      <x:c r="K54" s="53" t="str"/>
      <x:c r="L54" s="53" t="str"/>
      <x:c r="M54" s="53" t="str"/>
      <x:c r="N54" s="45" t="str">
        <x:f>IF(D54="","",D54-Profile!$E$11)</x:f>
      </x:c>
      <x:c r="O54" s="56" t="str">
        <x:f>IF(E54="","",E54/Profile!$E$12)</x:f>
      </x:c>
      <x:c r="P54" s="58" t="str">
        <x:f>IF(COUNT(INDEX($B:$B,MAX(4,ROW()-6)):B54)=0,"",AVERAGE(INDEX($B:$B,MAX(4,ROW()-6)):B54))</x:f>
      </x:c>
      <x:c r="Q54" s="56" t="str">
        <x:f>IF(OR(D54="",E54=""),"",IF(AND(ABS(N54)&lt;=150,O54&gt;=0.9),1,0))</x:f>
      </x:c>
      <x:c r="R54" s="56" t="n">
        <x:f>IF(L54="Да",1,IF(L54="Частично",0.5,0))</x:f>
        <x:v>0</x:v>
      </x:c>
      <x:c r="S54" s="45" t="n">
        <x:f>IF(A54="","",INT((A54-Profile!$B$15)/7)+1)</x:f>
        <x:v>7</x:v>
      </x:c>
    </x:row>
    <x:row r="55">
      <x:c r="A55" s="52" t="n">
        <x:v>46275</x:v>
      </x:c>
      <x:c r="B55" s="53"/>
      <x:c r="C55" s="53"/>
      <x:c r="D55" s="53"/>
      <x:c r="E55" s="53"/>
      <x:c r="F55" s="53"/>
      <x:c r="G55" s="53"/>
      <x:c r="H55" s="53"/>
      <x:c r="I55" s="53"/>
      <x:c r="J55" s="53"/>
      <x:c r="K55" s="53" t="str"/>
      <x:c r="L55" s="53" t="str"/>
      <x:c r="M55" s="53" t="str"/>
      <x:c r="N55" s="45" t="str">
        <x:f>IF(D55="","",D55-Profile!$E$11)</x:f>
      </x:c>
      <x:c r="O55" s="56" t="str">
        <x:f>IF(E55="","",E55/Profile!$E$12)</x:f>
      </x:c>
      <x:c r="P55" s="58" t="str">
        <x:f>IF(COUNT(INDEX($B:$B,MAX(4,ROW()-6)):B55)=0,"",AVERAGE(INDEX($B:$B,MAX(4,ROW()-6)):B55))</x:f>
      </x:c>
      <x:c r="Q55" s="56" t="str">
        <x:f>IF(OR(D55="",E55=""),"",IF(AND(ABS(N55)&lt;=150,O55&gt;=0.9),1,0))</x:f>
      </x:c>
      <x:c r="R55" s="56" t="n">
        <x:f>IF(L55="Да",1,IF(L55="Частично",0.5,0))</x:f>
        <x:v>0</x:v>
      </x:c>
      <x:c r="S55" s="45" t="n">
        <x:f>IF(A55="","",INT((A55-Profile!$B$15)/7)+1)</x:f>
        <x:v>7</x:v>
      </x:c>
    </x:row>
    <x:row r="56">
      <x:c r="A56" s="52" t="n">
        <x:v>46276</x:v>
      </x:c>
      <x:c r="B56" s="53"/>
      <x:c r="C56" s="53"/>
      <x:c r="D56" s="53"/>
      <x:c r="E56" s="53"/>
      <x:c r="F56" s="53"/>
      <x:c r="G56" s="53"/>
      <x:c r="H56" s="53"/>
      <x:c r="I56" s="53"/>
      <x:c r="J56" s="53"/>
      <x:c r="K56" s="53" t="str"/>
      <x:c r="L56" s="53" t="str"/>
      <x:c r="M56" s="53" t="str"/>
      <x:c r="N56" s="45" t="str">
        <x:f>IF(D56="","",D56-Profile!$E$11)</x:f>
      </x:c>
      <x:c r="O56" s="56" t="str">
        <x:f>IF(E56="","",E56/Profile!$E$12)</x:f>
      </x:c>
      <x:c r="P56" s="58" t="str">
        <x:f>IF(COUNT(INDEX($B:$B,MAX(4,ROW()-6)):B56)=0,"",AVERAGE(INDEX($B:$B,MAX(4,ROW()-6)):B56))</x:f>
      </x:c>
      <x:c r="Q56" s="56" t="str">
        <x:f>IF(OR(D56="",E56=""),"",IF(AND(ABS(N56)&lt;=150,O56&gt;=0.9),1,0))</x:f>
      </x:c>
      <x:c r="R56" s="56" t="n">
        <x:f>IF(L56="Да",1,IF(L56="Частично",0.5,0))</x:f>
        <x:v>0</x:v>
      </x:c>
      <x:c r="S56" s="45" t="n">
        <x:f>IF(A56="","",INT((A56-Profile!$B$15)/7)+1)</x:f>
        <x:v>7</x:v>
      </x:c>
    </x:row>
    <x:row r="57">
      <x:c r="A57" s="52" t="n">
        <x:v>46277</x:v>
      </x:c>
      <x:c r="B57" s="53"/>
      <x:c r="C57" s="53"/>
      <x:c r="D57" s="53"/>
      <x:c r="E57" s="53"/>
      <x:c r="F57" s="53"/>
      <x:c r="G57" s="53"/>
      <x:c r="H57" s="53"/>
      <x:c r="I57" s="53"/>
      <x:c r="J57" s="53"/>
      <x:c r="K57" s="53" t="str"/>
      <x:c r="L57" s="53" t="str"/>
      <x:c r="M57" s="53" t="str"/>
      <x:c r="N57" s="45" t="str">
        <x:f>IF(D57="","",D57-Profile!$E$11)</x:f>
      </x:c>
      <x:c r="O57" s="56" t="str">
        <x:f>IF(E57="","",E57/Profile!$E$12)</x:f>
      </x:c>
      <x:c r="P57" s="58" t="str">
        <x:f>IF(COUNT(INDEX($B:$B,MAX(4,ROW()-6)):B57)=0,"",AVERAGE(INDEX($B:$B,MAX(4,ROW()-6)):B57))</x:f>
      </x:c>
      <x:c r="Q57" s="56" t="str">
        <x:f>IF(OR(D57="",E57=""),"",IF(AND(ABS(N57)&lt;=150,O57&gt;=0.9),1,0))</x:f>
      </x:c>
      <x:c r="R57" s="56" t="n">
        <x:f>IF(L57="Да",1,IF(L57="Частично",0.5,0))</x:f>
        <x:v>0</x:v>
      </x:c>
      <x:c r="S57" s="45" t="n">
        <x:f>IF(A57="","",INT((A57-Profile!$B$15)/7)+1)</x:f>
        <x:v>7</x:v>
      </x:c>
    </x:row>
    <x:row r="58">
      <x:c r="A58" s="52" t="n">
        <x:v>46278</x:v>
      </x:c>
      <x:c r="B58" s="53"/>
      <x:c r="C58" s="53"/>
      <x:c r="D58" s="53"/>
      <x:c r="E58" s="53"/>
      <x:c r="F58" s="53"/>
      <x:c r="G58" s="53"/>
      <x:c r="H58" s="53"/>
      <x:c r="I58" s="53"/>
      <x:c r="J58" s="53"/>
      <x:c r="K58" s="53" t="str"/>
      <x:c r="L58" s="53" t="str"/>
      <x:c r="M58" s="53" t="str"/>
      <x:c r="N58" s="45" t="str">
        <x:f>IF(D58="","",D58-Profile!$E$11)</x:f>
      </x:c>
      <x:c r="O58" s="56" t="str">
        <x:f>IF(E58="","",E58/Profile!$E$12)</x:f>
      </x:c>
      <x:c r="P58" s="58" t="str">
        <x:f>IF(COUNT(INDEX($B:$B,MAX(4,ROW()-6)):B58)=0,"",AVERAGE(INDEX($B:$B,MAX(4,ROW()-6)):B58))</x:f>
      </x:c>
      <x:c r="Q58" s="56" t="str">
        <x:f>IF(OR(D58="",E58=""),"",IF(AND(ABS(N58)&lt;=150,O58&gt;=0.9),1,0))</x:f>
      </x:c>
      <x:c r="R58" s="56" t="n">
        <x:f>IF(L58="Да",1,IF(L58="Частично",0.5,0))</x:f>
        <x:v>0</x:v>
      </x:c>
      <x:c r="S58" s="45" t="n">
        <x:f>IF(A58="","",INT((A58-Profile!$B$15)/7)+1)</x:f>
        <x:v>7</x:v>
      </x:c>
    </x:row>
    <x:row r="59">
      <x:c r="A59" s="52" t="n">
        <x:v>46279</x:v>
      </x:c>
      <x:c r="B59" s="53"/>
      <x:c r="C59" s="53"/>
      <x:c r="D59" s="53"/>
      <x:c r="E59" s="53"/>
      <x:c r="F59" s="53"/>
      <x:c r="G59" s="53"/>
      <x:c r="H59" s="53"/>
      <x:c r="I59" s="53"/>
      <x:c r="J59" s="53"/>
      <x:c r="K59" s="53" t="str"/>
      <x:c r="L59" s="53" t="str"/>
      <x:c r="M59" s="53" t="str"/>
      <x:c r="N59" s="45" t="str">
        <x:f>IF(D59="","",D59-Profile!$E$11)</x:f>
      </x:c>
      <x:c r="O59" s="56" t="str">
        <x:f>IF(E59="","",E59/Profile!$E$12)</x:f>
      </x:c>
      <x:c r="P59" s="58" t="str">
        <x:f>IF(COUNT(INDEX($B:$B,MAX(4,ROW()-6)):B59)=0,"",AVERAGE(INDEX($B:$B,MAX(4,ROW()-6)):B59))</x:f>
      </x:c>
      <x:c r="Q59" s="56" t="str">
        <x:f>IF(OR(D59="",E59=""),"",IF(AND(ABS(N59)&lt;=150,O59&gt;=0.9),1,0))</x:f>
      </x:c>
      <x:c r="R59" s="56" t="n">
        <x:f>IF(L59="Да",1,IF(L59="Частично",0.5,0))</x:f>
        <x:v>0</x:v>
      </x:c>
      <x:c r="S59" s="45" t="n">
        <x:f>IF(A59="","",INT((A59-Profile!$B$15)/7)+1)</x:f>
        <x:v>8</x:v>
      </x:c>
    </x:row>
    <x:row r="60">
      <x:c r="A60" s="52" t="n">
        <x:v>46280</x:v>
      </x:c>
      <x:c r="B60" s="53"/>
      <x:c r="C60" s="53"/>
      <x:c r="D60" s="53"/>
      <x:c r="E60" s="53"/>
      <x:c r="F60" s="53"/>
      <x:c r="G60" s="53"/>
      <x:c r="H60" s="53"/>
      <x:c r="I60" s="53"/>
      <x:c r="J60" s="53"/>
      <x:c r="K60" s="53" t="str"/>
      <x:c r="L60" s="53" t="str"/>
      <x:c r="M60" s="53" t="str"/>
      <x:c r="N60" s="45" t="str">
        <x:f>IF(D60="","",D60-Profile!$E$11)</x:f>
      </x:c>
      <x:c r="O60" s="56" t="str">
        <x:f>IF(E60="","",E60/Profile!$E$12)</x:f>
      </x:c>
      <x:c r="P60" s="58" t="str">
        <x:f>IF(COUNT(INDEX($B:$B,MAX(4,ROW()-6)):B60)=0,"",AVERAGE(INDEX($B:$B,MAX(4,ROW()-6)):B60))</x:f>
      </x:c>
      <x:c r="Q60" s="56" t="str">
        <x:f>IF(OR(D60="",E60=""),"",IF(AND(ABS(N60)&lt;=150,O60&gt;=0.9),1,0))</x:f>
      </x:c>
      <x:c r="R60" s="56" t="n">
        <x:f>IF(L60="Да",1,IF(L60="Частично",0.5,0))</x:f>
        <x:v>0</x:v>
      </x:c>
      <x:c r="S60" s="45" t="n">
        <x:f>IF(A60="","",INT((A60-Profile!$B$15)/7)+1)</x:f>
        <x:v>8</x:v>
      </x:c>
    </x:row>
    <x:row r="61">
      <x:c r="A61" s="52" t="n">
        <x:v>46281</x:v>
      </x:c>
      <x:c r="B61" s="53"/>
      <x:c r="C61" s="53"/>
      <x:c r="D61" s="53"/>
      <x:c r="E61" s="53"/>
      <x:c r="F61" s="53"/>
      <x:c r="G61" s="53"/>
      <x:c r="H61" s="53"/>
      <x:c r="I61" s="53"/>
      <x:c r="J61" s="53"/>
      <x:c r="K61" s="53" t="str"/>
      <x:c r="L61" s="53" t="str"/>
      <x:c r="M61" s="53" t="str"/>
      <x:c r="N61" s="45" t="str">
        <x:f>IF(D61="","",D61-Profile!$E$11)</x:f>
      </x:c>
      <x:c r="O61" s="56" t="str">
        <x:f>IF(E61="","",E61/Profile!$E$12)</x:f>
      </x:c>
      <x:c r="P61" s="58" t="str">
        <x:f>IF(COUNT(INDEX($B:$B,MAX(4,ROW()-6)):B61)=0,"",AVERAGE(INDEX($B:$B,MAX(4,ROW()-6)):B61))</x:f>
      </x:c>
      <x:c r="Q61" s="56" t="str">
        <x:f>IF(OR(D61="",E61=""),"",IF(AND(ABS(N61)&lt;=150,O61&gt;=0.9),1,0))</x:f>
      </x:c>
      <x:c r="R61" s="56" t="n">
        <x:f>IF(L61="Да",1,IF(L61="Частично",0.5,0))</x:f>
        <x:v>0</x:v>
      </x:c>
      <x:c r="S61" s="45" t="n">
        <x:f>IF(A61="","",INT((A61-Profile!$B$15)/7)+1)</x:f>
        <x:v>8</x:v>
      </x:c>
    </x:row>
    <x:row r="62">
      <x:c r="A62" s="52" t="n">
        <x:v>46282</x:v>
      </x:c>
      <x:c r="B62" s="53"/>
      <x:c r="C62" s="53"/>
      <x:c r="D62" s="53"/>
      <x:c r="E62" s="53"/>
      <x:c r="F62" s="53"/>
      <x:c r="G62" s="53"/>
      <x:c r="H62" s="53"/>
      <x:c r="I62" s="53"/>
      <x:c r="J62" s="53"/>
      <x:c r="K62" s="53" t="str"/>
      <x:c r="L62" s="53" t="str"/>
      <x:c r="M62" s="53" t="str"/>
      <x:c r="N62" s="45" t="str">
        <x:f>IF(D62="","",D62-Profile!$E$11)</x:f>
      </x:c>
      <x:c r="O62" s="56" t="str">
        <x:f>IF(E62="","",E62/Profile!$E$12)</x:f>
      </x:c>
      <x:c r="P62" s="58" t="str">
        <x:f>IF(COUNT(INDEX($B:$B,MAX(4,ROW()-6)):B62)=0,"",AVERAGE(INDEX($B:$B,MAX(4,ROW()-6)):B62))</x:f>
      </x:c>
      <x:c r="Q62" s="56" t="str">
        <x:f>IF(OR(D62="",E62=""),"",IF(AND(ABS(N62)&lt;=150,O62&gt;=0.9),1,0))</x:f>
      </x:c>
      <x:c r="R62" s="56" t="n">
        <x:f>IF(L62="Да",1,IF(L62="Частично",0.5,0))</x:f>
        <x:v>0</x:v>
      </x:c>
      <x:c r="S62" s="45" t="n">
        <x:f>IF(A62="","",INT((A62-Profile!$B$15)/7)+1)</x:f>
        <x:v>8</x:v>
      </x:c>
    </x:row>
    <x:row r="63">
      <x:c r="A63" s="52" t="n">
        <x:v>46283</x:v>
      </x:c>
      <x:c r="B63" s="53"/>
      <x:c r="C63" s="53"/>
      <x:c r="D63" s="53"/>
      <x:c r="E63" s="53"/>
      <x:c r="F63" s="53"/>
      <x:c r="G63" s="53"/>
      <x:c r="H63" s="53"/>
      <x:c r="I63" s="53"/>
      <x:c r="J63" s="53"/>
      <x:c r="K63" s="53" t="str"/>
      <x:c r="L63" s="53" t="str"/>
      <x:c r="M63" s="53" t="str"/>
      <x:c r="N63" s="45" t="str">
        <x:f>IF(D63="","",D63-Profile!$E$11)</x:f>
      </x:c>
      <x:c r="O63" s="56" t="str">
        <x:f>IF(E63="","",E63/Profile!$E$12)</x:f>
      </x:c>
      <x:c r="P63" s="58" t="str">
        <x:f>IF(COUNT(INDEX($B:$B,MAX(4,ROW()-6)):B63)=0,"",AVERAGE(INDEX($B:$B,MAX(4,ROW()-6)):B63))</x:f>
      </x:c>
      <x:c r="Q63" s="56" t="str">
        <x:f>IF(OR(D63="",E63=""),"",IF(AND(ABS(N63)&lt;=150,O63&gt;=0.9),1,0))</x:f>
      </x:c>
      <x:c r="R63" s="56" t="n">
        <x:f>IF(L63="Да",1,IF(L63="Частично",0.5,0))</x:f>
        <x:v>0</x:v>
      </x:c>
      <x:c r="S63" s="45" t="n">
        <x:f>IF(A63="","",INT((A63-Profile!$B$15)/7)+1)</x:f>
        <x:v>8</x:v>
      </x:c>
    </x:row>
    <x:row r="64">
      <x:c r="A64" s="52" t="n">
        <x:v>46284</x:v>
      </x:c>
      <x:c r="B64" s="53"/>
      <x:c r="C64" s="53"/>
      <x:c r="D64" s="53"/>
      <x:c r="E64" s="53"/>
      <x:c r="F64" s="53"/>
      <x:c r="G64" s="53"/>
      <x:c r="H64" s="53"/>
      <x:c r="I64" s="53"/>
      <x:c r="J64" s="53"/>
      <x:c r="K64" s="53" t="str"/>
      <x:c r="L64" s="53" t="str"/>
      <x:c r="M64" s="53" t="str"/>
      <x:c r="N64" s="45" t="str">
        <x:f>IF(D64="","",D64-Profile!$E$11)</x:f>
      </x:c>
      <x:c r="O64" s="56" t="str">
        <x:f>IF(E64="","",E64/Profile!$E$12)</x:f>
      </x:c>
      <x:c r="P64" s="58" t="str">
        <x:f>IF(COUNT(INDEX($B:$B,MAX(4,ROW()-6)):B64)=0,"",AVERAGE(INDEX($B:$B,MAX(4,ROW()-6)):B64))</x:f>
      </x:c>
      <x:c r="Q64" s="56" t="str">
        <x:f>IF(OR(D64="",E64=""),"",IF(AND(ABS(N64)&lt;=150,O64&gt;=0.9),1,0))</x:f>
      </x:c>
      <x:c r="R64" s="56" t="n">
        <x:f>IF(L64="Да",1,IF(L64="Частично",0.5,0))</x:f>
        <x:v>0</x:v>
      </x:c>
      <x:c r="S64" s="45" t="n">
        <x:f>IF(A64="","",INT((A64-Profile!$B$15)/7)+1)</x:f>
        <x:v>8</x:v>
      </x:c>
    </x:row>
    <x:row r="65">
      <x:c r="A65" s="52" t="n">
        <x:v>46285</x:v>
      </x:c>
      <x:c r="B65" s="53"/>
      <x:c r="C65" s="53"/>
      <x:c r="D65" s="53"/>
      <x:c r="E65" s="53"/>
      <x:c r="F65" s="53"/>
      <x:c r="G65" s="53"/>
      <x:c r="H65" s="53"/>
      <x:c r="I65" s="53"/>
      <x:c r="J65" s="53"/>
      <x:c r="K65" s="53" t="str"/>
      <x:c r="L65" s="53" t="str"/>
      <x:c r="M65" s="53" t="str"/>
      <x:c r="N65" s="45" t="str">
        <x:f>IF(D65="","",D65-Profile!$E$11)</x:f>
      </x:c>
      <x:c r="O65" s="56" t="str">
        <x:f>IF(E65="","",E65/Profile!$E$12)</x:f>
      </x:c>
      <x:c r="P65" s="58" t="str">
        <x:f>IF(COUNT(INDEX($B:$B,MAX(4,ROW()-6)):B65)=0,"",AVERAGE(INDEX($B:$B,MAX(4,ROW()-6)):B65))</x:f>
      </x:c>
      <x:c r="Q65" s="56" t="str">
        <x:f>IF(OR(D65="",E65=""),"",IF(AND(ABS(N65)&lt;=150,O65&gt;=0.9),1,0))</x:f>
      </x:c>
      <x:c r="R65" s="56" t="n">
        <x:f>IF(L65="Да",1,IF(L65="Частично",0.5,0))</x:f>
        <x:v>0</x:v>
      </x:c>
      <x:c r="S65" s="45" t="n">
        <x:f>IF(A65="","",INT((A65-Profile!$B$15)/7)+1)</x:f>
        <x:v>8</x:v>
      </x:c>
    </x:row>
    <x:row r="66">
      <x:c r="A66" s="52" t="n">
        <x:v>46286</x:v>
      </x:c>
      <x:c r="B66" s="53"/>
      <x:c r="C66" s="53"/>
      <x:c r="D66" s="53"/>
      <x:c r="E66" s="53"/>
      <x:c r="F66" s="53"/>
      <x:c r="G66" s="53"/>
      <x:c r="H66" s="53"/>
      <x:c r="I66" s="53"/>
      <x:c r="J66" s="53"/>
      <x:c r="K66" s="53" t="str"/>
      <x:c r="L66" s="53" t="str"/>
      <x:c r="M66" s="53" t="str"/>
      <x:c r="N66" s="45" t="str">
        <x:f>IF(D66="","",D66-Profile!$E$11)</x:f>
      </x:c>
      <x:c r="O66" s="56" t="str">
        <x:f>IF(E66="","",E66/Profile!$E$12)</x:f>
      </x:c>
      <x:c r="P66" s="58" t="str">
        <x:f>IF(COUNT(INDEX($B:$B,MAX(4,ROW()-6)):B66)=0,"",AVERAGE(INDEX($B:$B,MAX(4,ROW()-6)):B66))</x:f>
      </x:c>
      <x:c r="Q66" s="56" t="str">
        <x:f>IF(OR(D66="",E66=""),"",IF(AND(ABS(N66)&lt;=150,O66&gt;=0.9),1,0))</x:f>
      </x:c>
      <x:c r="R66" s="56" t="n">
        <x:f>IF(L66="Да",1,IF(L66="Частично",0.5,0))</x:f>
        <x:v>0</x:v>
      </x:c>
      <x:c r="S66" s="45" t="n">
        <x:f>IF(A66="","",INT((A66-Profile!$B$15)/7)+1)</x:f>
        <x:v>9</x:v>
      </x:c>
    </x:row>
    <x:row r="67">
      <x:c r="A67" s="52" t="n">
        <x:v>46287</x:v>
      </x:c>
      <x:c r="B67" s="53"/>
      <x:c r="C67" s="53"/>
      <x:c r="D67" s="53"/>
      <x:c r="E67" s="53"/>
      <x:c r="F67" s="53"/>
      <x:c r="G67" s="53"/>
      <x:c r="H67" s="53"/>
      <x:c r="I67" s="53"/>
      <x:c r="J67" s="53"/>
      <x:c r="K67" s="53" t="str"/>
      <x:c r="L67" s="53" t="str"/>
      <x:c r="M67" s="53" t="str"/>
      <x:c r="N67" s="45" t="str">
        <x:f>IF(D67="","",D67-Profile!$E$11)</x:f>
      </x:c>
      <x:c r="O67" s="56" t="str">
        <x:f>IF(E67="","",E67/Profile!$E$12)</x:f>
      </x:c>
      <x:c r="P67" s="58" t="str">
        <x:f>IF(COUNT(INDEX($B:$B,MAX(4,ROW()-6)):B67)=0,"",AVERAGE(INDEX($B:$B,MAX(4,ROW()-6)):B67))</x:f>
      </x:c>
      <x:c r="Q67" s="56" t="str">
        <x:f>IF(OR(D67="",E67=""),"",IF(AND(ABS(N67)&lt;=150,O67&gt;=0.9),1,0))</x:f>
      </x:c>
      <x:c r="R67" s="56" t="n">
        <x:f>IF(L67="Да",1,IF(L67="Частично",0.5,0))</x:f>
        <x:v>0</x:v>
      </x:c>
      <x:c r="S67" s="45" t="n">
        <x:f>IF(A67="","",INT((A67-Profile!$B$15)/7)+1)</x:f>
        <x:v>9</x:v>
      </x:c>
    </x:row>
    <x:row r="68">
      <x:c r="A68" s="52" t="n">
        <x:v>46288</x:v>
      </x:c>
      <x:c r="B68" s="53"/>
      <x:c r="C68" s="53"/>
      <x:c r="D68" s="53"/>
      <x:c r="E68" s="53"/>
      <x:c r="F68" s="53"/>
      <x:c r="G68" s="53"/>
      <x:c r="H68" s="53"/>
      <x:c r="I68" s="53"/>
      <x:c r="J68" s="53"/>
      <x:c r="K68" s="53" t="str"/>
      <x:c r="L68" s="53" t="str"/>
      <x:c r="M68" s="53" t="str"/>
      <x:c r="N68" s="45" t="str">
        <x:f>IF(D68="","",D68-Profile!$E$11)</x:f>
      </x:c>
      <x:c r="O68" s="56" t="str">
        <x:f>IF(E68="","",E68/Profile!$E$12)</x:f>
      </x:c>
      <x:c r="P68" s="58" t="str">
        <x:f>IF(COUNT(INDEX($B:$B,MAX(4,ROW()-6)):B68)=0,"",AVERAGE(INDEX($B:$B,MAX(4,ROW()-6)):B68))</x:f>
      </x:c>
      <x:c r="Q68" s="56" t="str">
        <x:f>IF(OR(D68="",E68=""),"",IF(AND(ABS(N68)&lt;=150,O68&gt;=0.9),1,0))</x:f>
      </x:c>
      <x:c r="R68" s="56" t="n">
        <x:f>IF(L68="Да",1,IF(L68="Частично",0.5,0))</x:f>
        <x:v>0</x:v>
      </x:c>
      <x:c r="S68" s="45" t="n">
        <x:f>IF(A68="","",INT((A68-Profile!$B$15)/7)+1)</x:f>
        <x:v>9</x:v>
      </x:c>
    </x:row>
    <x:row r="69">
      <x:c r="A69" s="52" t="n">
        <x:v>46289</x:v>
      </x:c>
      <x:c r="B69" s="53"/>
      <x:c r="C69" s="53"/>
      <x:c r="D69" s="53"/>
      <x:c r="E69" s="53"/>
      <x:c r="F69" s="53"/>
      <x:c r="G69" s="53"/>
      <x:c r="H69" s="53"/>
      <x:c r="I69" s="53"/>
      <x:c r="J69" s="53"/>
      <x:c r="K69" s="53" t="str"/>
      <x:c r="L69" s="53" t="str"/>
      <x:c r="M69" s="53" t="str"/>
      <x:c r="N69" s="45" t="str">
        <x:f>IF(D69="","",D69-Profile!$E$11)</x:f>
      </x:c>
      <x:c r="O69" s="56" t="str">
        <x:f>IF(E69="","",E69/Profile!$E$12)</x:f>
      </x:c>
      <x:c r="P69" s="58" t="str">
        <x:f>IF(COUNT(INDEX($B:$B,MAX(4,ROW()-6)):B69)=0,"",AVERAGE(INDEX($B:$B,MAX(4,ROW()-6)):B69))</x:f>
      </x:c>
      <x:c r="Q69" s="56" t="str">
        <x:f>IF(OR(D69="",E69=""),"",IF(AND(ABS(N69)&lt;=150,O69&gt;=0.9),1,0))</x:f>
      </x:c>
      <x:c r="R69" s="56" t="n">
        <x:f>IF(L69="Да",1,IF(L69="Частично",0.5,0))</x:f>
        <x:v>0</x:v>
      </x:c>
      <x:c r="S69" s="45" t="n">
        <x:f>IF(A69="","",INT((A69-Profile!$B$15)/7)+1)</x:f>
        <x:v>9</x:v>
      </x:c>
    </x:row>
    <x:row r="70">
      <x:c r="A70" s="52" t="n">
        <x:v>46290</x:v>
      </x:c>
      <x:c r="B70" s="53"/>
      <x:c r="C70" s="53"/>
      <x:c r="D70" s="53"/>
      <x:c r="E70" s="53"/>
      <x:c r="F70" s="53"/>
      <x:c r="G70" s="53"/>
      <x:c r="H70" s="53"/>
      <x:c r="I70" s="53"/>
      <x:c r="J70" s="53"/>
      <x:c r="K70" s="53" t="str"/>
      <x:c r="L70" s="53" t="str"/>
      <x:c r="M70" s="53" t="str"/>
      <x:c r="N70" s="45" t="str">
        <x:f>IF(D70="","",D70-Profile!$E$11)</x:f>
      </x:c>
      <x:c r="O70" s="56" t="str">
        <x:f>IF(E70="","",E70/Profile!$E$12)</x:f>
      </x:c>
      <x:c r="P70" s="58" t="str">
        <x:f>IF(COUNT(INDEX($B:$B,MAX(4,ROW()-6)):B70)=0,"",AVERAGE(INDEX($B:$B,MAX(4,ROW()-6)):B70))</x:f>
      </x:c>
      <x:c r="Q70" s="56" t="str">
        <x:f>IF(OR(D70="",E70=""),"",IF(AND(ABS(N70)&lt;=150,O70&gt;=0.9),1,0))</x:f>
      </x:c>
      <x:c r="R70" s="56" t="n">
        <x:f>IF(L70="Да",1,IF(L70="Частично",0.5,0))</x:f>
        <x:v>0</x:v>
      </x:c>
      <x:c r="S70" s="45" t="n">
        <x:f>IF(A70="","",INT((A70-Profile!$B$15)/7)+1)</x:f>
        <x:v>9</x:v>
      </x:c>
    </x:row>
    <x:row r="71">
      <x:c r="A71" s="52" t="n">
        <x:v>46291</x:v>
      </x:c>
      <x:c r="B71" s="53"/>
      <x:c r="C71" s="53"/>
      <x:c r="D71" s="53"/>
      <x:c r="E71" s="53"/>
      <x:c r="F71" s="53"/>
      <x:c r="G71" s="53"/>
      <x:c r="H71" s="53"/>
      <x:c r="I71" s="53"/>
      <x:c r="J71" s="53"/>
      <x:c r="K71" s="53" t="str"/>
      <x:c r="L71" s="53" t="str"/>
      <x:c r="M71" s="53" t="str"/>
      <x:c r="N71" s="45" t="str">
        <x:f>IF(D71="","",D71-Profile!$E$11)</x:f>
      </x:c>
      <x:c r="O71" s="56" t="str">
        <x:f>IF(E71="","",E71/Profile!$E$12)</x:f>
      </x:c>
      <x:c r="P71" s="58" t="str">
        <x:f>IF(COUNT(INDEX($B:$B,MAX(4,ROW()-6)):B71)=0,"",AVERAGE(INDEX($B:$B,MAX(4,ROW()-6)):B71))</x:f>
      </x:c>
      <x:c r="Q71" s="56" t="str">
        <x:f>IF(OR(D71="",E71=""),"",IF(AND(ABS(N71)&lt;=150,O71&gt;=0.9),1,0))</x:f>
      </x:c>
      <x:c r="R71" s="56" t="n">
        <x:f>IF(L71="Да",1,IF(L71="Частично",0.5,0))</x:f>
        <x:v>0</x:v>
      </x:c>
      <x:c r="S71" s="45" t="n">
        <x:f>IF(A71="","",INT((A71-Profile!$B$15)/7)+1)</x:f>
        <x:v>9</x:v>
      </x:c>
    </x:row>
    <x:row r="72">
      <x:c r="A72" s="52" t="n">
        <x:v>46292</x:v>
      </x:c>
      <x:c r="B72" s="53"/>
      <x:c r="C72" s="53"/>
      <x:c r="D72" s="53"/>
      <x:c r="E72" s="53"/>
      <x:c r="F72" s="53"/>
      <x:c r="G72" s="53"/>
      <x:c r="H72" s="53"/>
      <x:c r="I72" s="53"/>
      <x:c r="J72" s="53"/>
      <x:c r="K72" s="53" t="str"/>
      <x:c r="L72" s="53" t="str"/>
      <x:c r="M72" s="53" t="str"/>
      <x:c r="N72" s="45" t="str">
        <x:f>IF(D72="","",D72-Profile!$E$11)</x:f>
      </x:c>
      <x:c r="O72" s="56" t="str">
        <x:f>IF(E72="","",E72/Profile!$E$12)</x:f>
      </x:c>
      <x:c r="P72" s="58" t="str">
        <x:f>IF(COUNT(INDEX($B:$B,MAX(4,ROW()-6)):B72)=0,"",AVERAGE(INDEX($B:$B,MAX(4,ROW()-6)):B72))</x:f>
      </x:c>
      <x:c r="Q72" s="56" t="str">
        <x:f>IF(OR(D72="",E72=""),"",IF(AND(ABS(N72)&lt;=150,O72&gt;=0.9),1,0))</x:f>
      </x:c>
      <x:c r="R72" s="56" t="n">
        <x:f>IF(L72="Да",1,IF(L72="Частично",0.5,0))</x:f>
        <x:v>0</x:v>
      </x:c>
      <x:c r="S72" s="45" t="n">
        <x:f>IF(A72="","",INT((A72-Profile!$B$15)/7)+1)</x:f>
        <x:v>9</x:v>
      </x:c>
    </x:row>
    <x:row r="73">
      <x:c r="A73" s="52" t="n">
        <x:v>46293</x:v>
      </x:c>
      <x:c r="B73" s="53"/>
      <x:c r="C73" s="53"/>
      <x:c r="D73" s="53"/>
      <x:c r="E73" s="53"/>
      <x:c r="F73" s="53"/>
      <x:c r="G73" s="53"/>
      <x:c r="H73" s="53"/>
      <x:c r="I73" s="53"/>
      <x:c r="J73" s="53"/>
      <x:c r="K73" s="53" t="str"/>
      <x:c r="L73" s="53" t="str"/>
      <x:c r="M73" s="53" t="str"/>
      <x:c r="N73" s="45" t="str">
        <x:f>IF(D73="","",D73-Profile!$E$11)</x:f>
      </x:c>
      <x:c r="O73" s="56" t="str">
        <x:f>IF(E73="","",E73/Profile!$E$12)</x:f>
      </x:c>
      <x:c r="P73" s="58" t="str">
        <x:f>IF(COUNT(INDEX($B:$B,MAX(4,ROW()-6)):B73)=0,"",AVERAGE(INDEX($B:$B,MAX(4,ROW()-6)):B73))</x:f>
      </x:c>
      <x:c r="Q73" s="56" t="str">
        <x:f>IF(OR(D73="",E73=""),"",IF(AND(ABS(N73)&lt;=150,O73&gt;=0.9),1,0))</x:f>
      </x:c>
      <x:c r="R73" s="56" t="n">
        <x:f>IF(L73="Да",1,IF(L73="Частично",0.5,0))</x:f>
        <x:v>0</x:v>
      </x:c>
      <x:c r="S73" s="45" t="n">
        <x:f>IF(A73="","",INT((A73-Profile!$B$15)/7)+1)</x:f>
        <x:v>10</x:v>
      </x:c>
    </x:row>
    <x:row r="74">
      <x:c r="A74" s="52" t="n">
        <x:v>46294</x:v>
      </x:c>
      <x:c r="B74" s="53"/>
      <x:c r="C74" s="53"/>
      <x:c r="D74" s="53"/>
      <x:c r="E74" s="53"/>
      <x:c r="F74" s="53"/>
      <x:c r="G74" s="53"/>
      <x:c r="H74" s="53"/>
      <x:c r="I74" s="53"/>
      <x:c r="J74" s="53"/>
      <x:c r="K74" s="53" t="str"/>
      <x:c r="L74" s="53" t="str"/>
      <x:c r="M74" s="53" t="str"/>
      <x:c r="N74" s="45" t="str">
        <x:f>IF(D74="","",D74-Profile!$E$11)</x:f>
      </x:c>
      <x:c r="O74" s="56" t="str">
        <x:f>IF(E74="","",E74/Profile!$E$12)</x:f>
      </x:c>
      <x:c r="P74" s="58" t="str">
        <x:f>IF(COUNT(INDEX($B:$B,MAX(4,ROW()-6)):B74)=0,"",AVERAGE(INDEX($B:$B,MAX(4,ROW()-6)):B74))</x:f>
      </x:c>
      <x:c r="Q74" s="56" t="str">
        <x:f>IF(OR(D74="",E74=""),"",IF(AND(ABS(N74)&lt;=150,O74&gt;=0.9),1,0))</x:f>
      </x:c>
      <x:c r="R74" s="56" t="n">
        <x:f>IF(L74="Да",1,IF(L74="Частично",0.5,0))</x:f>
        <x:v>0</x:v>
      </x:c>
      <x:c r="S74" s="45" t="n">
        <x:f>IF(A74="","",INT((A74-Profile!$B$15)/7)+1)</x:f>
        <x:v>10</x:v>
      </x:c>
    </x:row>
    <x:row r="75">
      <x:c r="A75" s="52" t="n">
        <x:v>46295</x:v>
      </x:c>
      <x:c r="B75" s="53"/>
      <x:c r="C75" s="53"/>
      <x:c r="D75" s="53"/>
      <x:c r="E75" s="53"/>
      <x:c r="F75" s="53"/>
      <x:c r="G75" s="53"/>
      <x:c r="H75" s="53"/>
      <x:c r="I75" s="53"/>
      <x:c r="J75" s="53"/>
      <x:c r="K75" s="53" t="str"/>
      <x:c r="L75" s="53" t="str"/>
      <x:c r="M75" s="53" t="str"/>
      <x:c r="N75" s="45" t="str">
        <x:f>IF(D75="","",D75-Profile!$E$11)</x:f>
      </x:c>
      <x:c r="O75" s="56" t="str">
        <x:f>IF(E75="","",E75/Profile!$E$12)</x:f>
      </x:c>
      <x:c r="P75" s="58" t="str">
        <x:f>IF(COUNT(INDEX($B:$B,MAX(4,ROW()-6)):B75)=0,"",AVERAGE(INDEX($B:$B,MAX(4,ROW()-6)):B75))</x:f>
      </x:c>
      <x:c r="Q75" s="56" t="str">
        <x:f>IF(OR(D75="",E75=""),"",IF(AND(ABS(N75)&lt;=150,O75&gt;=0.9),1,0))</x:f>
      </x:c>
      <x:c r="R75" s="56" t="n">
        <x:f>IF(L75="Да",1,IF(L75="Частично",0.5,0))</x:f>
        <x:v>0</x:v>
      </x:c>
      <x:c r="S75" s="45" t="n">
        <x:f>IF(A75="","",INT((A75-Profile!$B$15)/7)+1)</x:f>
        <x:v>10</x:v>
      </x:c>
    </x:row>
    <x:row r="76">
      <x:c r="A76" s="52" t="n">
        <x:v>46296</x:v>
      </x:c>
      <x:c r="B76" s="53"/>
      <x:c r="C76" s="53"/>
      <x:c r="D76" s="53"/>
      <x:c r="E76" s="53"/>
      <x:c r="F76" s="53"/>
      <x:c r="G76" s="53"/>
      <x:c r="H76" s="53"/>
      <x:c r="I76" s="53"/>
      <x:c r="J76" s="53"/>
      <x:c r="K76" s="53" t="str"/>
      <x:c r="L76" s="53" t="str"/>
      <x:c r="M76" s="53" t="str"/>
      <x:c r="N76" s="45" t="str">
        <x:f>IF(D76="","",D76-Profile!$E$11)</x:f>
      </x:c>
      <x:c r="O76" s="56" t="str">
        <x:f>IF(E76="","",E76/Profile!$E$12)</x:f>
      </x:c>
      <x:c r="P76" s="58" t="str">
        <x:f>IF(COUNT(INDEX($B:$B,MAX(4,ROW()-6)):B76)=0,"",AVERAGE(INDEX($B:$B,MAX(4,ROW()-6)):B76))</x:f>
      </x:c>
      <x:c r="Q76" s="56" t="str">
        <x:f>IF(OR(D76="",E76=""),"",IF(AND(ABS(N76)&lt;=150,O76&gt;=0.9),1,0))</x:f>
      </x:c>
      <x:c r="R76" s="56" t="n">
        <x:f>IF(L76="Да",1,IF(L76="Частично",0.5,0))</x:f>
        <x:v>0</x:v>
      </x:c>
      <x:c r="S76" s="45" t="n">
        <x:f>IF(A76="","",INT((A76-Profile!$B$15)/7)+1)</x:f>
        <x:v>10</x:v>
      </x:c>
    </x:row>
    <x:row r="77">
      <x:c r="A77" s="52" t="n">
        <x:v>46297</x:v>
      </x:c>
      <x:c r="B77" s="53"/>
      <x:c r="C77" s="53"/>
      <x:c r="D77" s="53"/>
      <x:c r="E77" s="53"/>
      <x:c r="F77" s="53"/>
      <x:c r="G77" s="53"/>
      <x:c r="H77" s="53"/>
      <x:c r="I77" s="53"/>
      <x:c r="J77" s="53"/>
      <x:c r="K77" s="53" t="str"/>
      <x:c r="L77" s="53" t="str"/>
      <x:c r="M77" s="53" t="str"/>
      <x:c r="N77" s="45" t="str">
        <x:f>IF(D77="","",D77-Profile!$E$11)</x:f>
      </x:c>
      <x:c r="O77" s="56" t="str">
        <x:f>IF(E77="","",E77/Profile!$E$12)</x:f>
      </x:c>
      <x:c r="P77" s="58" t="str">
        <x:f>IF(COUNT(INDEX($B:$B,MAX(4,ROW()-6)):B77)=0,"",AVERAGE(INDEX($B:$B,MAX(4,ROW()-6)):B77))</x:f>
      </x:c>
      <x:c r="Q77" s="56" t="str">
        <x:f>IF(OR(D77="",E77=""),"",IF(AND(ABS(N77)&lt;=150,O77&gt;=0.9),1,0))</x:f>
      </x:c>
      <x:c r="R77" s="56" t="n">
        <x:f>IF(L77="Да",1,IF(L77="Частично",0.5,0))</x:f>
        <x:v>0</x:v>
      </x:c>
      <x:c r="S77" s="45" t="n">
        <x:f>IF(A77="","",INT((A77-Profile!$B$15)/7)+1)</x:f>
        <x:v>10</x:v>
      </x:c>
    </x:row>
    <x:row r="78">
      <x:c r="A78" s="52" t="n">
        <x:v>46298</x:v>
      </x:c>
      <x:c r="B78" s="53"/>
      <x:c r="C78" s="53"/>
      <x:c r="D78" s="53"/>
      <x:c r="E78" s="53"/>
      <x:c r="F78" s="53"/>
      <x:c r="G78" s="53"/>
      <x:c r="H78" s="53"/>
      <x:c r="I78" s="53"/>
      <x:c r="J78" s="53"/>
      <x:c r="K78" s="53" t="str"/>
      <x:c r="L78" s="53" t="str"/>
      <x:c r="M78" s="53" t="str"/>
      <x:c r="N78" s="45" t="str">
        <x:f>IF(D78="","",D78-Profile!$E$11)</x:f>
      </x:c>
      <x:c r="O78" s="56" t="str">
        <x:f>IF(E78="","",E78/Profile!$E$12)</x:f>
      </x:c>
      <x:c r="P78" s="58" t="str">
        <x:f>IF(COUNT(INDEX($B:$B,MAX(4,ROW()-6)):B78)=0,"",AVERAGE(INDEX($B:$B,MAX(4,ROW()-6)):B78))</x:f>
      </x:c>
      <x:c r="Q78" s="56" t="str">
        <x:f>IF(OR(D78="",E78=""),"",IF(AND(ABS(N78)&lt;=150,O78&gt;=0.9),1,0))</x:f>
      </x:c>
      <x:c r="R78" s="56" t="n">
        <x:f>IF(L78="Да",1,IF(L78="Частично",0.5,0))</x:f>
        <x:v>0</x:v>
      </x:c>
      <x:c r="S78" s="45" t="n">
        <x:f>IF(A78="","",INT((A78-Profile!$B$15)/7)+1)</x:f>
        <x:v>10</x:v>
      </x:c>
    </x:row>
    <x:row r="79">
      <x:c r="A79" s="52" t="n">
        <x:v>46299</x:v>
      </x:c>
      <x:c r="B79" s="53"/>
      <x:c r="C79" s="53"/>
      <x:c r="D79" s="53"/>
      <x:c r="E79" s="53"/>
      <x:c r="F79" s="53"/>
      <x:c r="G79" s="53"/>
      <x:c r="H79" s="53"/>
      <x:c r="I79" s="53"/>
      <x:c r="J79" s="53"/>
      <x:c r="K79" s="53" t="str"/>
      <x:c r="L79" s="53" t="str"/>
      <x:c r="M79" s="53" t="str"/>
      <x:c r="N79" s="45" t="str">
        <x:f>IF(D79="","",D79-Profile!$E$11)</x:f>
      </x:c>
      <x:c r="O79" s="56" t="str">
        <x:f>IF(E79="","",E79/Profile!$E$12)</x:f>
      </x:c>
      <x:c r="P79" s="58" t="str">
        <x:f>IF(COUNT(INDEX($B:$B,MAX(4,ROW()-6)):B79)=0,"",AVERAGE(INDEX($B:$B,MAX(4,ROW()-6)):B79))</x:f>
      </x:c>
      <x:c r="Q79" s="56" t="str">
        <x:f>IF(OR(D79="",E79=""),"",IF(AND(ABS(N79)&lt;=150,O79&gt;=0.9),1,0))</x:f>
      </x:c>
      <x:c r="R79" s="56" t="n">
        <x:f>IF(L79="Да",1,IF(L79="Частично",0.5,0))</x:f>
        <x:v>0</x:v>
      </x:c>
      <x:c r="S79" s="45" t="n">
        <x:f>IF(A79="","",INT((A79-Profile!$B$15)/7)+1)</x:f>
        <x:v>10</x:v>
      </x:c>
    </x:row>
    <x:row r="80">
      <x:c r="A80" s="52" t="n">
        <x:v>46300</x:v>
      </x:c>
      <x:c r="B80" s="53"/>
      <x:c r="C80" s="53"/>
      <x:c r="D80" s="53"/>
      <x:c r="E80" s="53"/>
      <x:c r="F80" s="53"/>
      <x:c r="G80" s="53"/>
      <x:c r="H80" s="53"/>
      <x:c r="I80" s="53"/>
      <x:c r="J80" s="53"/>
      <x:c r="K80" s="53" t="str"/>
      <x:c r="L80" s="53" t="str"/>
      <x:c r="M80" s="53" t="str"/>
      <x:c r="N80" s="45" t="str">
        <x:f>IF(D80="","",D80-Profile!$E$11)</x:f>
      </x:c>
      <x:c r="O80" s="56" t="str">
        <x:f>IF(E80="","",E80/Profile!$E$12)</x:f>
      </x:c>
      <x:c r="P80" s="58" t="str">
        <x:f>IF(COUNT(INDEX($B:$B,MAX(4,ROW()-6)):B80)=0,"",AVERAGE(INDEX($B:$B,MAX(4,ROW()-6)):B80))</x:f>
      </x:c>
      <x:c r="Q80" s="56" t="str">
        <x:f>IF(OR(D80="",E80=""),"",IF(AND(ABS(N80)&lt;=150,O80&gt;=0.9),1,0))</x:f>
      </x:c>
      <x:c r="R80" s="56" t="n">
        <x:f>IF(L80="Да",1,IF(L80="Частично",0.5,0))</x:f>
        <x:v>0</x:v>
      </x:c>
      <x:c r="S80" s="45" t="n">
        <x:f>IF(A80="","",INT((A80-Profile!$B$15)/7)+1)</x:f>
        <x:v>11</x:v>
      </x:c>
    </x:row>
    <x:row r="81">
      <x:c r="A81" s="52" t="n">
        <x:v>46301</x:v>
      </x:c>
      <x:c r="B81" s="53"/>
      <x:c r="C81" s="53"/>
      <x:c r="D81" s="53"/>
      <x:c r="E81" s="53"/>
      <x:c r="F81" s="53"/>
      <x:c r="G81" s="53"/>
      <x:c r="H81" s="53"/>
      <x:c r="I81" s="53"/>
      <x:c r="J81" s="53"/>
      <x:c r="K81" s="53" t="str"/>
      <x:c r="L81" s="53" t="str"/>
      <x:c r="M81" s="53" t="str"/>
      <x:c r="N81" s="45" t="str">
        <x:f>IF(D81="","",D81-Profile!$E$11)</x:f>
      </x:c>
      <x:c r="O81" s="56" t="str">
        <x:f>IF(E81="","",E81/Profile!$E$12)</x:f>
      </x:c>
      <x:c r="P81" s="58" t="str">
        <x:f>IF(COUNT(INDEX($B:$B,MAX(4,ROW()-6)):B81)=0,"",AVERAGE(INDEX($B:$B,MAX(4,ROW()-6)):B81))</x:f>
      </x:c>
      <x:c r="Q81" s="56" t="str">
        <x:f>IF(OR(D81="",E81=""),"",IF(AND(ABS(N81)&lt;=150,O81&gt;=0.9),1,0))</x:f>
      </x:c>
      <x:c r="R81" s="56" t="n">
        <x:f>IF(L81="Да",1,IF(L81="Частично",0.5,0))</x:f>
        <x:v>0</x:v>
      </x:c>
      <x:c r="S81" s="45" t="n">
        <x:f>IF(A81="","",INT((A81-Profile!$B$15)/7)+1)</x:f>
        <x:v>11</x:v>
      </x:c>
    </x:row>
    <x:row r="82">
      <x:c r="A82" s="52" t="n">
        <x:v>46302</x:v>
      </x:c>
      <x:c r="B82" s="53"/>
      <x:c r="C82" s="53"/>
      <x:c r="D82" s="53"/>
      <x:c r="E82" s="53"/>
      <x:c r="F82" s="53"/>
      <x:c r="G82" s="53"/>
      <x:c r="H82" s="53"/>
      <x:c r="I82" s="53"/>
      <x:c r="J82" s="53"/>
      <x:c r="K82" s="53" t="str"/>
      <x:c r="L82" s="53" t="str"/>
      <x:c r="M82" s="53" t="str"/>
      <x:c r="N82" s="45" t="str">
        <x:f>IF(D82="","",D82-Profile!$E$11)</x:f>
      </x:c>
      <x:c r="O82" s="56" t="str">
        <x:f>IF(E82="","",E82/Profile!$E$12)</x:f>
      </x:c>
      <x:c r="P82" s="58" t="str">
        <x:f>IF(COUNT(INDEX($B:$B,MAX(4,ROW()-6)):B82)=0,"",AVERAGE(INDEX($B:$B,MAX(4,ROW()-6)):B82))</x:f>
      </x:c>
      <x:c r="Q82" s="56" t="str">
        <x:f>IF(OR(D82="",E82=""),"",IF(AND(ABS(N82)&lt;=150,O82&gt;=0.9),1,0))</x:f>
      </x:c>
      <x:c r="R82" s="56" t="n">
        <x:f>IF(L82="Да",1,IF(L82="Частично",0.5,0))</x:f>
        <x:v>0</x:v>
      </x:c>
      <x:c r="S82" s="45" t="n">
        <x:f>IF(A82="","",INT((A82-Profile!$B$15)/7)+1)</x:f>
        <x:v>11</x:v>
      </x:c>
    </x:row>
    <x:row r="83">
      <x:c r="A83" s="52" t="n">
        <x:v>46303</x:v>
      </x:c>
      <x:c r="B83" s="53"/>
      <x:c r="C83" s="53"/>
      <x:c r="D83" s="53"/>
      <x:c r="E83" s="53"/>
      <x:c r="F83" s="53"/>
      <x:c r="G83" s="53"/>
      <x:c r="H83" s="53"/>
      <x:c r="I83" s="53"/>
      <x:c r="J83" s="53"/>
      <x:c r="K83" s="53" t="str"/>
      <x:c r="L83" s="53" t="str"/>
      <x:c r="M83" s="53" t="str"/>
      <x:c r="N83" s="45" t="str">
        <x:f>IF(D83="","",D83-Profile!$E$11)</x:f>
      </x:c>
      <x:c r="O83" s="56" t="str">
        <x:f>IF(E83="","",E83/Profile!$E$12)</x:f>
      </x:c>
      <x:c r="P83" s="58" t="str">
        <x:f>IF(COUNT(INDEX($B:$B,MAX(4,ROW()-6)):B83)=0,"",AVERAGE(INDEX($B:$B,MAX(4,ROW()-6)):B83))</x:f>
      </x:c>
      <x:c r="Q83" s="56" t="str">
        <x:f>IF(OR(D83="",E83=""),"",IF(AND(ABS(N83)&lt;=150,O83&gt;=0.9),1,0))</x:f>
      </x:c>
      <x:c r="R83" s="56" t="n">
        <x:f>IF(L83="Да",1,IF(L83="Частично",0.5,0))</x:f>
        <x:v>0</x:v>
      </x:c>
      <x:c r="S83" s="45" t="n">
        <x:f>IF(A83="","",INT((A83-Profile!$B$15)/7)+1)</x:f>
        <x:v>11</x:v>
      </x:c>
    </x:row>
    <x:row r="84">
      <x:c r="A84" s="52" t="n">
        <x:v>46304</x:v>
      </x:c>
      <x:c r="B84" s="53"/>
      <x:c r="C84" s="53"/>
      <x:c r="D84" s="53"/>
      <x:c r="E84" s="53"/>
      <x:c r="F84" s="53"/>
      <x:c r="G84" s="53"/>
      <x:c r="H84" s="53"/>
      <x:c r="I84" s="53"/>
      <x:c r="J84" s="53"/>
      <x:c r="K84" s="53" t="str"/>
      <x:c r="L84" s="53" t="str"/>
      <x:c r="M84" s="53" t="str"/>
      <x:c r="N84" s="45" t="str">
        <x:f>IF(D84="","",D84-Profile!$E$11)</x:f>
      </x:c>
      <x:c r="O84" s="56" t="str">
        <x:f>IF(E84="","",E84/Profile!$E$12)</x:f>
      </x:c>
      <x:c r="P84" s="58" t="str">
        <x:f>IF(COUNT(INDEX($B:$B,MAX(4,ROW()-6)):B84)=0,"",AVERAGE(INDEX($B:$B,MAX(4,ROW()-6)):B84))</x:f>
      </x:c>
      <x:c r="Q84" s="56" t="str">
        <x:f>IF(OR(D84="",E84=""),"",IF(AND(ABS(N84)&lt;=150,O84&gt;=0.9),1,0))</x:f>
      </x:c>
      <x:c r="R84" s="56" t="n">
        <x:f>IF(L84="Да",1,IF(L84="Частично",0.5,0))</x:f>
        <x:v>0</x:v>
      </x:c>
      <x:c r="S84" s="45" t="n">
        <x:f>IF(A84="","",INT((A84-Profile!$B$15)/7)+1)</x:f>
        <x:v>11</x:v>
      </x:c>
    </x:row>
    <x:row r="85">
      <x:c r="A85" s="52" t="n">
        <x:v>46305</x:v>
      </x:c>
      <x:c r="B85" s="53"/>
      <x:c r="C85" s="53"/>
      <x:c r="D85" s="53"/>
      <x:c r="E85" s="53"/>
      <x:c r="F85" s="53"/>
      <x:c r="G85" s="53"/>
      <x:c r="H85" s="53"/>
      <x:c r="I85" s="53"/>
      <x:c r="J85" s="53"/>
      <x:c r="K85" s="53" t="str"/>
      <x:c r="L85" s="53" t="str"/>
      <x:c r="M85" s="53" t="str"/>
      <x:c r="N85" s="45" t="str">
        <x:f>IF(D85="","",D85-Profile!$E$11)</x:f>
      </x:c>
      <x:c r="O85" s="56" t="str">
        <x:f>IF(E85="","",E85/Profile!$E$12)</x:f>
      </x:c>
      <x:c r="P85" s="58" t="str">
        <x:f>IF(COUNT(INDEX($B:$B,MAX(4,ROW()-6)):B85)=0,"",AVERAGE(INDEX($B:$B,MAX(4,ROW()-6)):B85))</x:f>
      </x:c>
      <x:c r="Q85" s="56" t="str">
        <x:f>IF(OR(D85="",E85=""),"",IF(AND(ABS(N85)&lt;=150,O85&gt;=0.9),1,0))</x:f>
      </x:c>
      <x:c r="R85" s="56" t="n">
        <x:f>IF(L85="Да",1,IF(L85="Частично",0.5,0))</x:f>
        <x:v>0</x:v>
      </x:c>
      <x:c r="S85" s="45" t="n">
        <x:f>IF(A85="","",INT((A85-Profile!$B$15)/7)+1)</x:f>
        <x:v>11</x:v>
      </x:c>
    </x:row>
    <x:row r="86">
      <x:c r="A86" s="52" t="n">
        <x:v>46306</x:v>
      </x:c>
      <x:c r="B86" s="53"/>
      <x:c r="C86" s="53"/>
      <x:c r="D86" s="53"/>
      <x:c r="E86" s="53"/>
      <x:c r="F86" s="53"/>
      <x:c r="G86" s="53"/>
      <x:c r="H86" s="53"/>
      <x:c r="I86" s="53"/>
      <x:c r="J86" s="53"/>
      <x:c r="K86" s="53" t="str"/>
      <x:c r="L86" s="53" t="str"/>
      <x:c r="M86" s="53" t="str"/>
      <x:c r="N86" s="45" t="str">
        <x:f>IF(D86="","",D86-Profile!$E$11)</x:f>
      </x:c>
      <x:c r="O86" s="56" t="str">
        <x:f>IF(E86="","",E86/Profile!$E$12)</x:f>
      </x:c>
      <x:c r="P86" s="58" t="str">
        <x:f>IF(COUNT(INDEX($B:$B,MAX(4,ROW()-6)):B86)=0,"",AVERAGE(INDEX($B:$B,MAX(4,ROW()-6)):B86))</x:f>
      </x:c>
      <x:c r="Q86" s="56" t="str">
        <x:f>IF(OR(D86="",E86=""),"",IF(AND(ABS(N86)&lt;=150,O86&gt;=0.9),1,0))</x:f>
      </x:c>
      <x:c r="R86" s="56" t="n">
        <x:f>IF(L86="Да",1,IF(L86="Частично",0.5,0))</x:f>
        <x:v>0</x:v>
      </x:c>
      <x:c r="S86" s="45" t="n">
        <x:f>IF(A86="","",INT((A86-Profile!$B$15)/7)+1)</x:f>
        <x:v>11</x:v>
      </x:c>
    </x:row>
    <x:row r="87">
      <x:c r="A87" s="52" t="n">
        <x:v>46307</x:v>
      </x:c>
      <x:c r="B87" s="53"/>
      <x:c r="C87" s="53"/>
      <x:c r="D87" s="53"/>
      <x:c r="E87" s="53"/>
      <x:c r="F87" s="53"/>
      <x:c r="G87" s="53"/>
      <x:c r="H87" s="53"/>
      <x:c r="I87" s="53"/>
      <x:c r="J87" s="53"/>
      <x:c r="K87" s="53" t="str"/>
      <x:c r="L87" s="53" t="str"/>
      <x:c r="M87" s="53" t="str"/>
      <x:c r="N87" s="45" t="str">
        <x:f>IF(D87="","",D87-Profile!$E$11)</x:f>
      </x:c>
      <x:c r="O87" s="56" t="str">
        <x:f>IF(E87="","",E87/Profile!$E$12)</x:f>
      </x:c>
      <x:c r="P87" s="58" t="str">
        <x:f>IF(COUNT(INDEX($B:$B,MAX(4,ROW()-6)):B87)=0,"",AVERAGE(INDEX($B:$B,MAX(4,ROW()-6)):B87))</x:f>
      </x:c>
      <x:c r="Q87" s="56" t="str">
        <x:f>IF(OR(D87="",E87=""),"",IF(AND(ABS(N87)&lt;=150,O87&gt;=0.9),1,0))</x:f>
      </x:c>
      <x:c r="R87" s="56" t="n">
        <x:f>IF(L87="Да",1,IF(L87="Частично",0.5,0))</x:f>
        <x:v>0</x:v>
      </x:c>
      <x:c r="S87" s="45" t="n">
        <x:f>IF(A87="","",INT((A87-Profile!$B$15)/7)+1)</x:f>
        <x:v>12</x:v>
      </x:c>
    </x:row>
    <x:row r="88">
      <x:c r="A88" s="52" t="n">
        <x:v>46308</x:v>
      </x:c>
      <x:c r="B88" s="53"/>
      <x:c r="C88" s="53"/>
      <x:c r="D88" s="53"/>
      <x:c r="E88" s="53"/>
      <x:c r="F88" s="53"/>
      <x:c r="G88" s="53"/>
      <x:c r="H88" s="53"/>
      <x:c r="I88" s="53"/>
      <x:c r="J88" s="53"/>
      <x:c r="K88" s="53" t="str"/>
      <x:c r="L88" s="53" t="str"/>
      <x:c r="M88" s="53" t="str"/>
      <x:c r="N88" s="45" t="str">
        <x:f>IF(D88="","",D88-Profile!$E$11)</x:f>
      </x:c>
      <x:c r="O88" s="56" t="str">
        <x:f>IF(E88="","",E88/Profile!$E$12)</x:f>
      </x:c>
      <x:c r="P88" s="58" t="str">
        <x:f>IF(COUNT(INDEX($B:$B,MAX(4,ROW()-6)):B88)=0,"",AVERAGE(INDEX($B:$B,MAX(4,ROW()-6)):B88))</x:f>
      </x:c>
      <x:c r="Q88" s="56" t="str">
        <x:f>IF(OR(D88="",E88=""),"",IF(AND(ABS(N88)&lt;=150,O88&gt;=0.9),1,0))</x:f>
      </x:c>
      <x:c r="R88" s="56" t="n">
        <x:f>IF(L88="Да",1,IF(L88="Частично",0.5,0))</x:f>
        <x:v>0</x:v>
      </x:c>
      <x:c r="S88" s="45" t="n">
        <x:f>IF(A88="","",INT((A88-Profile!$B$15)/7)+1)</x:f>
        <x:v>12</x:v>
      </x:c>
    </x:row>
    <x:row r="89">
      <x:c r="A89" s="52" t="n">
        <x:v>46309</x:v>
      </x:c>
      <x:c r="B89" s="53"/>
      <x:c r="C89" s="53"/>
      <x:c r="D89" s="53"/>
      <x:c r="E89" s="53"/>
      <x:c r="F89" s="53"/>
      <x:c r="G89" s="53"/>
      <x:c r="H89" s="53"/>
      <x:c r="I89" s="53"/>
      <x:c r="J89" s="53"/>
      <x:c r="K89" s="53" t="str"/>
      <x:c r="L89" s="53" t="str"/>
      <x:c r="M89" s="53" t="str"/>
      <x:c r="N89" s="45" t="str">
        <x:f>IF(D89="","",D89-Profile!$E$11)</x:f>
      </x:c>
      <x:c r="O89" s="56" t="str">
        <x:f>IF(E89="","",E89/Profile!$E$12)</x:f>
      </x:c>
      <x:c r="P89" s="58" t="str">
        <x:f>IF(COUNT(INDEX($B:$B,MAX(4,ROW()-6)):B89)=0,"",AVERAGE(INDEX($B:$B,MAX(4,ROW()-6)):B89))</x:f>
      </x:c>
      <x:c r="Q89" s="56" t="str">
        <x:f>IF(OR(D89="",E89=""),"",IF(AND(ABS(N89)&lt;=150,O89&gt;=0.9),1,0))</x:f>
      </x:c>
      <x:c r="R89" s="56" t="n">
        <x:f>IF(L89="Да",1,IF(L89="Частично",0.5,0))</x:f>
        <x:v>0</x:v>
      </x:c>
      <x:c r="S89" s="45" t="n">
        <x:f>IF(A89="","",INT((A89-Profile!$B$15)/7)+1)</x:f>
        <x:v>12</x:v>
      </x:c>
    </x:row>
    <x:row r="90">
      <x:c r="A90" s="52" t="n">
        <x:v>46310</x:v>
      </x:c>
      <x:c r="B90" s="53"/>
      <x:c r="C90" s="53"/>
      <x:c r="D90" s="53"/>
      <x:c r="E90" s="53"/>
      <x:c r="F90" s="53"/>
      <x:c r="G90" s="53"/>
      <x:c r="H90" s="53"/>
      <x:c r="I90" s="53"/>
      <x:c r="J90" s="53"/>
      <x:c r="K90" s="53" t="str"/>
      <x:c r="L90" s="53" t="str"/>
      <x:c r="M90" s="53" t="str"/>
      <x:c r="N90" s="45" t="str">
        <x:f>IF(D90="","",D90-Profile!$E$11)</x:f>
      </x:c>
      <x:c r="O90" s="56" t="str">
        <x:f>IF(E90="","",E90/Profile!$E$12)</x:f>
      </x:c>
      <x:c r="P90" s="58" t="str">
        <x:f>IF(COUNT(INDEX($B:$B,MAX(4,ROW()-6)):B90)=0,"",AVERAGE(INDEX($B:$B,MAX(4,ROW()-6)):B90))</x:f>
      </x:c>
      <x:c r="Q90" s="56" t="str">
        <x:f>IF(OR(D90="",E90=""),"",IF(AND(ABS(N90)&lt;=150,O90&gt;=0.9),1,0))</x:f>
      </x:c>
      <x:c r="R90" s="56" t="n">
        <x:f>IF(L90="Да",1,IF(L90="Частично",0.5,0))</x:f>
        <x:v>0</x:v>
      </x:c>
      <x:c r="S90" s="45" t="n">
        <x:f>IF(A90="","",INT((A90-Profile!$B$15)/7)+1)</x:f>
        <x:v>12</x:v>
      </x:c>
    </x:row>
    <x:row r="91">
      <x:c r="A91" s="52" t="n">
        <x:v>46311</x:v>
      </x:c>
      <x:c r="B91" s="53"/>
      <x:c r="C91" s="53"/>
      <x:c r="D91" s="53"/>
      <x:c r="E91" s="53"/>
      <x:c r="F91" s="53"/>
      <x:c r="G91" s="53"/>
      <x:c r="H91" s="53"/>
      <x:c r="I91" s="53"/>
      <x:c r="J91" s="53"/>
      <x:c r="K91" s="53" t="str"/>
      <x:c r="L91" s="53" t="str"/>
      <x:c r="M91" s="53" t="str"/>
      <x:c r="N91" s="45" t="str">
        <x:f>IF(D91="","",D91-Profile!$E$11)</x:f>
      </x:c>
      <x:c r="O91" s="56" t="str">
        <x:f>IF(E91="","",E91/Profile!$E$12)</x:f>
      </x:c>
      <x:c r="P91" s="58" t="str">
        <x:f>IF(COUNT(INDEX($B:$B,MAX(4,ROW()-6)):B91)=0,"",AVERAGE(INDEX($B:$B,MAX(4,ROW()-6)):B91))</x:f>
      </x:c>
      <x:c r="Q91" s="56" t="str">
        <x:f>IF(OR(D91="",E91=""),"",IF(AND(ABS(N91)&lt;=150,O91&gt;=0.9),1,0))</x:f>
      </x:c>
      <x:c r="R91" s="56" t="n">
        <x:f>IF(L91="Да",1,IF(L91="Частично",0.5,0))</x:f>
        <x:v>0</x:v>
      </x:c>
      <x:c r="S91" s="45" t="n">
        <x:f>IF(A91="","",INT((A91-Profile!$B$15)/7)+1)</x:f>
        <x:v>12</x:v>
      </x:c>
    </x:row>
    <x:row r="92">
      <x:c r="A92" s="52" t="n">
        <x:v>46312</x:v>
      </x:c>
      <x:c r="B92" s="53"/>
      <x:c r="C92" s="53"/>
      <x:c r="D92" s="53"/>
      <x:c r="E92" s="53"/>
      <x:c r="F92" s="53"/>
      <x:c r="G92" s="53"/>
      <x:c r="H92" s="53"/>
      <x:c r="I92" s="53"/>
      <x:c r="J92" s="53"/>
      <x:c r="K92" s="53" t="str"/>
      <x:c r="L92" s="53" t="str"/>
      <x:c r="M92" s="53" t="str"/>
      <x:c r="N92" s="45" t="str">
        <x:f>IF(D92="","",D92-Profile!$E$11)</x:f>
      </x:c>
      <x:c r="O92" s="56" t="str">
        <x:f>IF(E92="","",E92/Profile!$E$12)</x:f>
      </x:c>
      <x:c r="P92" s="58" t="str">
        <x:f>IF(COUNT(INDEX($B:$B,MAX(4,ROW()-6)):B92)=0,"",AVERAGE(INDEX($B:$B,MAX(4,ROW()-6)):B92))</x:f>
      </x:c>
      <x:c r="Q92" s="56" t="str">
        <x:f>IF(OR(D92="",E92=""),"",IF(AND(ABS(N92)&lt;=150,O92&gt;=0.9),1,0))</x:f>
      </x:c>
      <x:c r="R92" s="56" t="n">
        <x:f>IF(L92="Да",1,IF(L92="Частично",0.5,0))</x:f>
        <x:v>0</x:v>
      </x:c>
      <x:c r="S92" s="45" t="n">
        <x:f>IF(A92="","",INT((A92-Profile!$B$15)/7)+1)</x:f>
        <x:v>12</x:v>
      </x:c>
    </x:row>
    <x:row r="93">
      <x:c r="A93" s="52" t="n">
        <x:v>46313</x:v>
      </x:c>
      <x:c r="B93" s="53"/>
      <x:c r="C93" s="53"/>
      <x:c r="D93" s="53"/>
      <x:c r="E93" s="53"/>
      <x:c r="F93" s="53"/>
      <x:c r="G93" s="53"/>
      <x:c r="H93" s="53"/>
      <x:c r="I93" s="53"/>
      <x:c r="J93" s="53"/>
      <x:c r="K93" s="53" t="str"/>
      <x:c r="L93" s="53" t="str"/>
      <x:c r="M93" s="53" t="str"/>
      <x:c r="N93" s="45" t="str">
        <x:f>IF(D93="","",D93-Profile!$E$11)</x:f>
      </x:c>
      <x:c r="O93" s="56" t="str">
        <x:f>IF(E93="","",E93/Profile!$E$12)</x:f>
      </x:c>
      <x:c r="P93" s="58" t="str">
        <x:f>IF(COUNT(INDEX($B:$B,MAX(4,ROW()-6)):B93)=0,"",AVERAGE(INDEX($B:$B,MAX(4,ROW()-6)):B93))</x:f>
      </x:c>
      <x:c r="Q93" s="56" t="str">
        <x:f>IF(OR(D93="",E93=""),"",IF(AND(ABS(N93)&lt;=150,O93&gt;=0.9),1,0))</x:f>
      </x:c>
      <x:c r="R93" s="56" t="n">
        <x:f>IF(L93="Да",1,IF(L93="Частично",0.5,0))</x:f>
        <x:v>0</x:v>
      </x:c>
      <x:c r="S93" s="45" t="n">
        <x:f>IF(A93="","",INT((A93-Profile!$B$15)/7)+1)</x:f>
        <x:v>12</x:v>
      </x:c>
    </x:row>
    <x:row r="94">
      <x:c r="A94" s="52" t="n">
        <x:v>46314</x:v>
      </x:c>
      <x:c r="B94" s="53"/>
      <x:c r="C94" s="53"/>
      <x:c r="D94" s="53"/>
      <x:c r="E94" s="53"/>
      <x:c r="F94" s="53"/>
      <x:c r="G94" s="53"/>
      <x:c r="H94" s="53"/>
      <x:c r="I94" s="53"/>
      <x:c r="J94" s="53"/>
      <x:c r="K94" s="53" t="str"/>
      <x:c r="L94" s="53" t="str"/>
      <x:c r="M94" s="53" t="str"/>
      <x:c r="N94" s="45" t="str">
        <x:f>IF(D94="","",D94-Profile!$E$11)</x:f>
      </x:c>
      <x:c r="O94" s="56" t="str">
        <x:f>IF(E94="","",E94/Profile!$E$12)</x:f>
      </x:c>
      <x:c r="P94" s="58" t="str">
        <x:f>IF(COUNT(INDEX($B:$B,MAX(4,ROW()-6)):B94)=0,"",AVERAGE(INDEX($B:$B,MAX(4,ROW()-6)):B94))</x:f>
      </x:c>
      <x:c r="Q94" s="56" t="str">
        <x:f>IF(OR(D94="",E94=""),"",IF(AND(ABS(N94)&lt;=150,O94&gt;=0.9),1,0))</x:f>
      </x:c>
      <x:c r="R94" s="56" t="n">
        <x:f>IF(L94="Да",1,IF(L94="Частично",0.5,0))</x:f>
        <x:v>0</x:v>
      </x:c>
      <x:c r="S94" s="45" t="n">
        <x:f>IF(A94="","",INT((A94-Profile!$B$15)/7)+1)</x:f>
        <x:v>13</x:v>
      </x:c>
    </x:row>
    <x:row r="95">
      <x:c r="A95" s="52" t="n">
        <x:v>46315</x:v>
      </x:c>
      <x:c r="B95" s="53"/>
      <x:c r="C95" s="53"/>
      <x:c r="D95" s="53"/>
      <x:c r="E95" s="53"/>
      <x:c r="F95" s="53"/>
      <x:c r="G95" s="53"/>
      <x:c r="H95" s="53"/>
      <x:c r="I95" s="53"/>
      <x:c r="J95" s="53"/>
      <x:c r="K95" s="53" t="str"/>
      <x:c r="L95" s="53" t="str"/>
      <x:c r="M95" s="53" t="str"/>
      <x:c r="N95" s="45" t="str">
        <x:f>IF(D95="","",D95-Profile!$E$11)</x:f>
      </x:c>
      <x:c r="O95" s="56" t="str">
        <x:f>IF(E95="","",E95/Profile!$E$12)</x:f>
      </x:c>
      <x:c r="P95" s="58" t="str">
        <x:f>IF(COUNT(INDEX($B:$B,MAX(4,ROW()-6)):B95)=0,"",AVERAGE(INDEX($B:$B,MAX(4,ROW()-6)):B95))</x:f>
      </x:c>
      <x:c r="Q95" s="56" t="str">
        <x:f>IF(OR(D95="",E95=""),"",IF(AND(ABS(N95)&lt;=150,O95&gt;=0.9),1,0))</x:f>
      </x:c>
      <x:c r="R95" s="56" t="n">
        <x:f>IF(L95="Да",1,IF(L95="Частично",0.5,0))</x:f>
        <x:v>0</x:v>
      </x:c>
      <x:c r="S95" s="45" t="n">
        <x:f>IF(A95="","",INT((A95-Profile!$B$15)/7)+1)</x:f>
        <x:v>13</x:v>
      </x:c>
    </x:row>
    <x:row r="96">
      <x:c r="A96" s="52" t="n">
        <x:v>46316</x:v>
      </x:c>
      <x:c r="B96" s="53"/>
      <x:c r="C96" s="53"/>
      <x:c r="D96" s="53"/>
      <x:c r="E96" s="53"/>
      <x:c r="F96" s="53"/>
      <x:c r="G96" s="53"/>
      <x:c r="H96" s="53"/>
      <x:c r="I96" s="53"/>
      <x:c r="J96" s="53"/>
      <x:c r="K96" s="53" t="str"/>
      <x:c r="L96" s="53" t="str"/>
      <x:c r="M96" s="53" t="str"/>
      <x:c r="N96" s="45" t="str">
        <x:f>IF(D96="","",D96-Profile!$E$11)</x:f>
      </x:c>
      <x:c r="O96" s="56" t="str">
        <x:f>IF(E96="","",E96/Profile!$E$12)</x:f>
      </x:c>
      <x:c r="P96" s="58" t="str">
        <x:f>IF(COUNT(INDEX($B:$B,MAX(4,ROW()-6)):B96)=0,"",AVERAGE(INDEX($B:$B,MAX(4,ROW()-6)):B96))</x:f>
      </x:c>
      <x:c r="Q96" s="56" t="str">
        <x:f>IF(OR(D96="",E96=""),"",IF(AND(ABS(N96)&lt;=150,O96&gt;=0.9),1,0))</x:f>
      </x:c>
      <x:c r="R96" s="56" t="n">
        <x:f>IF(L96="Да",1,IF(L96="Частично",0.5,0))</x:f>
        <x:v>0</x:v>
      </x:c>
      <x:c r="S96" s="45" t="n">
        <x:f>IF(A96="","",INT((A96-Profile!$B$15)/7)+1)</x:f>
        <x:v>13</x:v>
      </x:c>
    </x:row>
    <x:row r="97">
      <x:c r="A97" s="52" t="n">
        <x:v>46317</x:v>
      </x:c>
      <x:c r="B97" s="53"/>
      <x:c r="C97" s="53"/>
      <x:c r="D97" s="53"/>
      <x:c r="E97" s="53"/>
      <x:c r="F97" s="53"/>
      <x:c r="G97" s="53"/>
      <x:c r="H97" s="53"/>
      <x:c r="I97" s="53"/>
      <x:c r="J97" s="53"/>
      <x:c r="K97" s="53" t="str"/>
      <x:c r="L97" s="53" t="str"/>
      <x:c r="M97" s="53" t="str"/>
      <x:c r="N97" s="45" t="str">
        <x:f>IF(D97="","",D97-Profile!$E$11)</x:f>
      </x:c>
      <x:c r="O97" s="56" t="str">
        <x:f>IF(E97="","",E97/Profile!$E$12)</x:f>
      </x:c>
      <x:c r="P97" s="58" t="str">
        <x:f>IF(COUNT(INDEX($B:$B,MAX(4,ROW()-6)):B97)=0,"",AVERAGE(INDEX($B:$B,MAX(4,ROW()-6)):B97))</x:f>
      </x:c>
      <x:c r="Q97" s="56" t="str">
        <x:f>IF(OR(D97="",E97=""),"",IF(AND(ABS(N97)&lt;=150,O97&gt;=0.9),1,0))</x:f>
      </x:c>
      <x:c r="R97" s="56" t="n">
        <x:f>IF(L97="Да",1,IF(L97="Частично",0.5,0))</x:f>
        <x:v>0</x:v>
      </x:c>
      <x:c r="S97" s="45" t="n">
        <x:f>IF(A97="","",INT((A97-Profile!$B$15)/7)+1)</x:f>
        <x:v>13</x:v>
      </x:c>
    </x:row>
    <x:row r="98">
      <x:c r="A98" s="52" t="n">
        <x:v>46318</x:v>
      </x:c>
      <x:c r="B98" s="53"/>
      <x:c r="C98" s="53"/>
      <x:c r="D98" s="53"/>
      <x:c r="E98" s="53"/>
      <x:c r="F98" s="53"/>
      <x:c r="G98" s="53"/>
      <x:c r="H98" s="53"/>
      <x:c r="I98" s="53"/>
      <x:c r="J98" s="53"/>
      <x:c r="K98" s="53" t="str"/>
      <x:c r="L98" s="53" t="str"/>
      <x:c r="M98" s="53" t="str"/>
      <x:c r="N98" s="45" t="str">
        <x:f>IF(D98="","",D98-Profile!$E$11)</x:f>
      </x:c>
      <x:c r="O98" s="56" t="str">
        <x:f>IF(E98="","",E98/Profile!$E$12)</x:f>
      </x:c>
      <x:c r="P98" s="58" t="str">
        <x:f>IF(COUNT(INDEX($B:$B,MAX(4,ROW()-6)):B98)=0,"",AVERAGE(INDEX($B:$B,MAX(4,ROW()-6)):B98))</x:f>
      </x:c>
      <x:c r="Q98" s="56" t="str">
        <x:f>IF(OR(D98="",E98=""),"",IF(AND(ABS(N98)&lt;=150,O98&gt;=0.9),1,0))</x:f>
      </x:c>
      <x:c r="R98" s="56" t="n">
        <x:f>IF(L98="Да",1,IF(L98="Частично",0.5,0))</x:f>
        <x:v>0</x:v>
      </x:c>
      <x:c r="S98" s="45" t="n">
        <x:f>IF(A98="","",INT((A98-Profile!$B$15)/7)+1)</x:f>
        <x:v>13</x:v>
      </x:c>
    </x:row>
    <x:row r="99">
      <x:c r="A99" s="52" t="n">
        <x:v>46319</x:v>
      </x:c>
      <x:c r="B99" s="53"/>
      <x:c r="C99" s="53"/>
      <x:c r="D99" s="53"/>
      <x:c r="E99" s="53"/>
      <x:c r="F99" s="53"/>
      <x:c r="G99" s="53"/>
      <x:c r="H99" s="53"/>
      <x:c r="I99" s="53"/>
      <x:c r="J99" s="53"/>
      <x:c r="K99" s="53" t="str"/>
      <x:c r="L99" s="53" t="str"/>
      <x:c r="M99" s="53" t="str"/>
      <x:c r="N99" s="45" t="str">
        <x:f>IF(D99="","",D99-Profile!$E$11)</x:f>
      </x:c>
      <x:c r="O99" s="56" t="str">
        <x:f>IF(E99="","",E99/Profile!$E$12)</x:f>
      </x:c>
      <x:c r="P99" s="58" t="str">
        <x:f>IF(COUNT(INDEX($B:$B,MAX(4,ROW()-6)):B99)=0,"",AVERAGE(INDEX($B:$B,MAX(4,ROW()-6)):B99))</x:f>
      </x:c>
      <x:c r="Q99" s="56" t="str">
        <x:f>IF(OR(D99="",E99=""),"",IF(AND(ABS(N99)&lt;=150,O99&gt;=0.9),1,0))</x:f>
      </x:c>
      <x:c r="R99" s="56" t="n">
        <x:f>IF(L99="Да",1,IF(L99="Частично",0.5,0))</x:f>
        <x:v>0</x:v>
      </x:c>
      <x:c r="S99" s="45" t="n">
        <x:f>IF(A99="","",INT((A99-Profile!$B$15)/7)+1)</x:f>
        <x:v>13</x:v>
      </x:c>
    </x:row>
    <x:row r="100">
      <x:c r="A100" s="52" t="n">
        <x:v>46320</x:v>
      </x:c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 t="str"/>
      <x:c r="L100" s="53" t="str"/>
      <x:c r="M100" s="53" t="str"/>
      <x:c r="N100" s="45" t="str">
        <x:f>IF(D100="","",D100-Profile!$E$11)</x:f>
      </x:c>
      <x:c r="O100" s="56" t="str">
        <x:f>IF(E100="","",E100/Profile!$E$12)</x:f>
      </x:c>
      <x:c r="P100" s="58" t="str">
        <x:f>IF(COUNT(INDEX($B:$B,MAX(4,ROW()-6)):B100)=0,"",AVERAGE(INDEX($B:$B,MAX(4,ROW()-6)):B100))</x:f>
      </x:c>
      <x:c r="Q100" s="56" t="str">
        <x:f>IF(OR(D100="",E100=""),"",IF(AND(ABS(N100)&lt;=150,O100&gt;=0.9),1,0))</x:f>
      </x:c>
      <x:c r="R100" s="56" t="n">
        <x:f>IF(L100="Да",1,IF(L100="Частично",0.5,0))</x:f>
        <x:v>0</x:v>
      </x:c>
      <x:c r="S100" s="45" t="n">
        <x:f>IF(A100="","",INT((A100-Profile!$B$15)/7)+1)</x:f>
        <x:v>13</x:v>
      </x:c>
    </x:row>
    <x:row r="101">
      <x:c r="A101" s="52" t="n">
        <x:v>46321</x:v>
      </x:c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 t="str"/>
      <x:c r="L101" s="53" t="str"/>
      <x:c r="M101" s="53" t="str"/>
      <x:c r="N101" s="45" t="str">
        <x:f>IF(D101="","",D101-Profile!$E$11)</x:f>
      </x:c>
      <x:c r="O101" s="56" t="str">
        <x:f>IF(E101="","",E101/Profile!$E$12)</x:f>
      </x:c>
      <x:c r="P101" s="58" t="str">
        <x:f>IF(COUNT(INDEX($B:$B,MAX(4,ROW()-6)):B101)=0,"",AVERAGE(INDEX($B:$B,MAX(4,ROW()-6)):B101))</x:f>
      </x:c>
      <x:c r="Q101" s="56" t="str">
        <x:f>IF(OR(D101="",E101=""),"",IF(AND(ABS(N101)&lt;=150,O101&gt;=0.9),1,0))</x:f>
      </x:c>
      <x:c r="R101" s="56" t="n">
        <x:f>IF(L101="Да",1,IF(L101="Частично",0.5,0))</x:f>
        <x:v>0</x:v>
      </x:c>
      <x:c r="S101" s="45" t="n">
        <x:f>IF(A101="","",INT((A101-Profile!$B$15)/7)+1)</x:f>
        <x:v>14</x:v>
      </x:c>
    </x:row>
    <x:row r="102">
      <x:c r="A102" s="52" t="n">
        <x:v>46322</x:v>
      </x:c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 t="str"/>
      <x:c r="L102" s="53" t="str"/>
      <x:c r="M102" s="53" t="str"/>
      <x:c r="N102" s="45" t="str">
        <x:f>IF(D102="","",D102-Profile!$E$11)</x:f>
      </x:c>
      <x:c r="O102" s="56" t="str">
        <x:f>IF(E102="","",E102/Profile!$E$12)</x:f>
      </x:c>
      <x:c r="P102" s="58" t="str">
        <x:f>IF(COUNT(INDEX($B:$B,MAX(4,ROW()-6)):B102)=0,"",AVERAGE(INDEX($B:$B,MAX(4,ROW()-6)):B102))</x:f>
      </x:c>
      <x:c r="Q102" s="56" t="str">
        <x:f>IF(OR(D102="",E102=""),"",IF(AND(ABS(N102)&lt;=150,O102&gt;=0.9),1,0))</x:f>
      </x:c>
      <x:c r="R102" s="56" t="n">
        <x:f>IF(L102="Да",1,IF(L102="Частично",0.5,0))</x:f>
        <x:v>0</x:v>
      </x:c>
      <x:c r="S102" s="45" t="n">
        <x:f>IF(A102="","",INT((A102-Profile!$B$15)/7)+1)</x:f>
        <x:v>14</x:v>
      </x:c>
    </x:row>
    <x:row r="103">
      <x:c r="A103" s="52" t="n">
        <x:v>46323</x:v>
      </x:c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 t="str"/>
      <x:c r="L103" s="53" t="str"/>
      <x:c r="M103" s="53" t="str"/>
      <x:c r="N103" s="45" t="str">
        <x:f>IF(D103="","",D103-Profile!$E$11)</x:f>
      </x:c>
      <x:c r="O103" s="56" t="str">
        <x:f>IF(E103="","",E103/Profile!$E$12)</x:f>
      </x:c>
      <x:c r="P103" s="58" t="str">
        <x:f>IF(COUNT(INDEX($B:$B,MAX(4,ROW()-6)):B103)=0,"",AVERAGE(INDEX($B:$B,MAX(4,ROW()-6)):B103))</x:f>
      </x:c>
      <x:c r="Q103" s="56" t="str">
        <x:f>IF(OR(D103="",E103=""),"",IF(AND(ABS(N103)&lt;=150,O103&gt;=0.9),1,0))</x:f>
      </x:c>
      <x:c r="R103" s="56" t="n">
        <x:f>IF(L103="Да",1,IF(L103="Частично",0.5,0))</x:f>
        <x:v>0</x:v>
      </x:c>
      <x:c r="S103" s="45" t="n">
        <x:f>IF(A103="","",INT((A103-Profile!$B$15)/7)+1)</x:f>
        <x:v>14</x:v>
      </x:c>
    </x:row>
    <x:row r="104">
      <x:c r="A104" s="52" t="n">
        <x:v>46324</x:v>
      </x:c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 t="str"/>
      <x:c r="L104" s="53" t="str"/>
      <x:c r="M104" s="53" t="str"/>
      <x:c r="N104" s="45" t="str">
        <x:f>IF(D104="","",D104-Profile!$E$11)</x:f>
      </x:c>
      <x:c r="O104" s="56" t="str">
        <x:f>IF(E104="","",E104/Profile!$E$12)</x:f>
      </x:c>
      <x:c r="P104" s="58" t="str">
        <x:f>IF(COUNT(INDEX($B:$B,MAX(4,ROW()-6)):B104)=0,"",AVERAGE(INDEX($B:$B,MAX(4,ROW()-6)):B104))</x:f>
      </x:c>
      <x:c r="Q104" s="56" t="str">
        <x:f>IF(OR(D104="",E104=""),"",IF(AND(ABS(N104)&lt;=150,O104&gt;=0.9),1,0))</x:f>
      </x:c>
      <x:c r="R104" s="56" t="n">
        <x:f>IF(L104="Да",1,IF(L104="Частично",0.5,0))</x:f>
        <x:v>0</x:v>
      </x:c>
      <x:c r="S104" s="45" t="n">
        <x:f>IF(A104="","",INT((A104-Profile!$B$15)/7)+1)</x:f>
        <x:v>14</x:v>
      </x:c>
    </x:row>
    <x:row r="105">
      <x:c r="A105" s="52" t="n">
        <x:v>46325</x:v>
      </x:c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 t="str"/>
      <x:c r="L105" s="53" t="str"/>
      <x:c r="M105" s="53" t="str"/>
      <x:c r="N105" s="45" t="str">
        <x:f>IF(D105="","",D105-Profile!$E$11)</x:f>
      </x:c>
      <x:c r="O105" s="56" t="str">
        <x:f>IF(E105="","",E105/Profile!$E$12)</x:f>
      </x:c>
      <x:c r="P105" s="58" t="str">
        <x:f>IF(COUNT(INDEX($B:$B,MAX(4,ROW()-6)):B105)=0,"",AVERAGE(INDEX($B:$B,MAX(4,ROW()-6)):B105))</x:f>
      </x:c>
      <x:c r="Q105" s="56" t="str">
        <x:f>IF(OR(D105="",E105=""),"",IF(AND(ABS(N105)&lt;=150,O105&gt;=0.9),1,0))</x:f>
      </x:c>
      <x:c r="R105" s="56" t="n">
        <x:f>IF(L105="Да",1,IF(L105="Частично",0.5,0))</x:f>
        <x:v>0</x:v>
      </x:c>
      <x:c r="S105" s="45" t="n">
        <x:f>IF(A105="","",INT((A105-Profile!$B$15)/7)+1)</x:f>
        <x:v>14</x:v>
      </x:c>
    </x:row>
    <x:row r="106">
      <x:c r="A106" s="52" t="n">
        <x:v>46326</x:v>
      </x:c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 t="str"/>
      <x:c r="L106" s="53" t="str"/>
      <x:c r="M106" s="53" t="str"/>
      <x:c r="N106" s="45" t="str">
        <x:f>IF(D106="","",D106-Profile!$E$11)</x:f>
      </x:c>
      <x:c r="O106" s="56" t="str">
        <x:f>IF(E106="","",E106/Profile!$E$12)</x:f>
      </x:c>
      <x:c r="P106" s="58" t="str">
        <x:f>IF(COUNT(INDEX($B:$B,MAX(4,ROW()-6)):B106)=0,"",AVERAGE(INDEX($B:$B,MAX(4,ROW()-6)):B106))</x:f>
      </x:c>
      <x:c r="Q106" s="56" t="str">
        <x:f>IF(OR(D106="",E106=""),"",IF(AND(ABS(N106)&lt;=150,O106&gt;=0.9),1,0))</x:f>
      </x:c>
      <x:c r="R106" s="56" t="n">
        <x:f>IF(L106="Да",1,IF(L106="Частично",0.5,0))</x:f>
        <x:v>0</x:v>
      </x:c>
      <x:c r="S106" s="45" t="n">
        <x:f>IF(A106="","",INT((A106-Profile!$B$15)/7)+1)</x:f>
        <x:v>14</x:v>
      </x:c>
    </x:row>
    <x:row r="107">
      <x:c r="A107" s="52" t="n">
        <x:v>46327</x:v>
      </x:c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 t="str"/>
      <x:c r="L107" s="53" t="str"/>
      <x:c r="M107" s="53" t="str"/>
      <x:c r="N107" s="45" t="str">
        <x:f>IF(D107="","",D107-Profile!$E$11)</x:f>
      </x:c>
      <x:c r="O107" s="56" t="str">
        <x:f>IF(E107="","",E107/Profile!$E$12)</x:f>
      </x:c>
      <x:c r="P107" s="58" t="str">
        <x:f>IF(COUNT(INDEX($B:$B,MAX(4,ROW()-6)):B107)=0,"",AVERAGE(INDEX($B:$B,MAX(4,ROW()-6)):B107))</x:f>
      </x:c>
      <x:c r="Q107" s="56" t="str">
        <x:f>IF(OR(D107="",E107=""),"",IF(AND(ABS(N107)&lt;=150,O107&gt;=0.9),1,0))</x:f>
      </x:c>
      <x:c r="R107" s="56" t="n">
        <x:f>IF(L107="Да",1,IF(L107="Частично",0.5,0))</x:f>
        <x:v>0</x:v>
      </x:c>
      <x:c r="S107" s="45" t="n">
        <x:f>IF(A107="","",INT((A107-Profile!$B$15)/7)+1)</x:f>
        <x:v>14</x:v>
      </x:c>
    </x:row>
    <x:row r="108">
      <x:c r="A108" s="52" t="n">
        <x:v>46328</x:v>
      </x:c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 t="str"/>
      <x:c r="L108" s="53" t="str"/>
      <x:c r="M108" s="53" t="str"/>
      <x:c r="N108" s="45" t="str">
        <x:f>IF(D108="","",D108-Profile!$E$11)</x:f>
      </x:c>
      <x:c r="O108" s="56" t="str">
        <x:f>IF(E108="","",E108/Profile!$E$12)</x:f>
      </x:c>
      <x:c r="P108" s="58" t="str">
        <x:f>IF(COUNT(INDEX($B:$B,MAX(4,ROW()-6)):B108)=0,"",AVERAGE(INDEX($B:$B,MAX(4,ROW()-6)):B108))</x:f>
      </x:c>
      <x:c r="Q108" s="56" t="str">
        <x:f>IF(OR(D108="",E108=""),"",IF(AND(ABS(N108)&lt;=150,O108&gt;=0.9),1,0))</x:f>
      </x:c>
      <x:c r="R108" s="56" t="n">
        <x:f>IF(L108="Да",1,IF(L108="Частично",0.5,0))</x:f>
        <x:v>0</x:v>
      </x:c>
      <x:c r="S108" s="45" t="n">
        <x:f>IF(A108="","",INT((A108-Profile!$B$15)/7)+1)</x:f>
        <x:v>15</x:v>
      </x:c>
    </x:row>
    <x:row r="109">
      <x:c r="A109" s="52" t="n">
        <x:v>46329</x:v>
      </x:c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 t="str"/>
      <x:c r="L109" s="53" t="str"/>
      <x:c r="M109" s="53" t="str"/>
      <x:c r="N109" s="45" t="str">
        <x:f>IF(D109="","",D109-Profile!$E$11)</x:f>
      </x:c>
      <x:c r="O109" s="56" t="str">
        <x:f>IF(E109="","",E109/Profile!$E$12)</x:f>
      </x:c>
      <x:c r="P109" s="58" t="str">
        <x:f>IF(COUNT(INDEX($B:$B,MAX(4,ROW()-6)):B109)=0,"",AVERAGE(INDEX($B:$B,MAX(4,ROW()-6)):B109))</x:f>
      </x:c>
      <x:c r="Q109" s="56" t="str">
        <x:f>IF(OR(D109="",E109=""),"",IF(AND(ABS(N109)&lt;=150,O109&gt;=0.9),1,0))</x:f>
      </x:c>
      <x:c r="R109" s="56" t="n">
        <x:f>IF(L109="Да",1,IF(L109="Частично",0.5,0))</x:f>
        <x:v>0</x:v>
      </x:c>
      <x:c r="S109" s="45" t="n">
        <x:f>IF(A109="","",INT((A109-Profile!$B$15)/7)+1)</x:f>
        <x:v>15</x:v>
      </x:c>
    </x:row>
    <x:row r="110">
      <x:c r="A110" s="52" t="n">
        <x:v>46330</x:v>
      </x:c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 t="str"/>
      <x:c r="L110" s="53" t="str"/>
      <x:c r="M110" s="53" t="str"/>
      <x:c r="N110" s="45" t="str">
        <x:f>IF(D110="","",D110-Profile!$E$11)</x:f>
      </x:c>
      <x:c r="O110" s="56" t="str">
        <x:f>IF(E110="","",E110/Profile!$E$12)</x:f>
      </x:c>
      <x:c r="P110" s="58" t="str">
        <x:f>IF(COUNT(INDEX($B:$B,MAX(4,ROW()-6)):B110)=0,"",AVERAGE(INDEX($B:$B,MAX(4,ROW()-6)):B110))</x:f>
      </x:c>
      <x:c r="Q110" s="56" t="str">
        <x:f>IF(OR(D110="",E110=""),"",IF(AND(ABS(N110)&lt;=150,O110&gt;=0.9),1,0))</x:f>
      </x:c>
      <x:c r="R110" s="56" t="n">
        <x:f>IF(L110="Да",1,IF(L110="Частично",0.5,0))</x:f>
        <x:v>0</x:v>
      </x:c>
      <x:c r="S110" s="45" t="n">
        <x:f>IF(A110="","",INT((A110-Profile!$B$15)/7)+1)</x:f>
        <x:v>15</x:v>
      </x:c>
    </x:row>
    <x:row r="111">
      <x:c r="A111" s="52" t="n">
        <x:v>46331</x:v>
      </x:c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 t="str"/>
      <x:c r="L111" s="53" t="str"/>
      <x:c r="M111" s="53" t="str"/>
      <x:c r="N111" s="45" t="str">
        <x:f>IF(D111="","",D111-Profile!$E$11)</x:f>
      </x:c>
      <x:c r="O111" s="56" t="str">
        <x:f>IF(E111="","",E111/Profile!$E$12)</x:f>
      </x:c>
      <x:c r="P111" s="58" t="str">
        <x:f>IF(COUNT(INDEX($B:$B,MAX(4,ROW()-6)):B111)=0,"",AVERAGE(INDEX($B:$B,MAX(4,ROW()-6)):B111))</x:f>
      </x:c>
      <x:c r="Q111" s="56" t="str">
        <x:f>IF(OR(D111="",E111=""),"",IF(AND(ABS(N111)&lt;=150,O111&gt;=0.9),1,0))</x:f>
      </x:c>
      <x:c r="R111" s="56" t="n">
        <x:f>IF(L111="Да",1,IF(L111="Частично",0.5,0))</x:f>
        <x:v>0</x:v>
      </x:c>
      <x:c r="S111" s="45" t="n">
        <x:f>IF(A111="","",INT((A111-Profile!$B$15)/7)+1)</x:f>
        <x:v>15</x:v>
      </x:c>
    </x:row>
    <x:row r="112">
      <x:c r="A112" s="52" t="n">
        <x:v>46332</x:v>
      </x:c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 t="str"/>
      <x:c r="L112" s="53" t="str"/>
      <x:c r="M112" s="53" t="str"/>
      <x:c r="N112" s="45" t="str">
        <x:f>IF(D112="","",D112-Profile!$E$11)</x:f>
      </x:c>
      <x:c r="O112" s="56" t="str">
        <x:f>IF(E112="","",E112/Profile!$E$12)</x:f>
      </x:c>
      <x:c r="P112" s="58" t="str">
        <x:f>IF(COUNT(INDEX($B:$B,MAX(4,ROW()-6)):B112)=0,"",AVERAGE(INDEX($B:$B,MAX(4,ROW()-6)):B112))</x:f>
      </x:c>
      <x:c r="Q112" s="56" t="str">
        <x:f>IF(OR(D112="",E112=""),"",IF(AND(ABS(N112)&lt;=150,O112&gt;=0.9),1,0))</x:f>
      </x:c>
      <x:c r="R112" s="56" t="n">
        <x:f>IF(L112="Да",1,IF(L112="Частично",0.5,0))</x:f>
        <x:v>0</x:v>
      </x:c>
      <x:c r="S112" s="45" t="n">
        <x:f>IF(A112="","",INT((A112-Profile!$B$15)/7)+1)</x:f>
        <x:v>15</x:v>
      </x:c>
    </x:row>
    <x:row r="113">
      <x:c r="A113" s="52" t="n">
        <x:v>46333</x:v>
      </x:c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 t="str"/>
      <x:c r="L113" s="53" t="str"/>
      <x:c r="M113" s="53" t="str"/>
      <x:c r="N113" s="45" t="str">
        <x:f>IF(D113="","",D113-Profile!$E$11)</x:f>
      </x:c>
      <x:c r="O113" s="56" t="str">
        <x:f>IF(E113="","",E113/Profile!$E$12)</x:f>
      </x:c>
      <x:c r="P113" s="58" t="str">
        <x:f>IF(COUNT(INDEX($B:$B,MAX(4,ROW()-6)):B113)=0,"",AVERAGE(INDEX($B:$B,MAX(4,ROW()-6)):B113))</x:f>
      </x:c>
      <x:c r="Q113" s="56" t="str">
        <x:f>IF(OR(D113="",E113=""),"",IF(AND(ABS(N113)&lt;=150,O113&gt;=0.9),1,0))</x:f>
      </x:c>
      <x:c r="R113" s="56" t="n">
        <x:f>IF(L113="Да",1,IF(L113="Частично",0.5,0))</x:f>
        <x:v>0</x:v>
      </x:c>
      <x:c r="S113" s="45" t="n">
        <x:f>IF(A113="","",INT((A113-Profile!$B$15)/7)+1)</x:f>
        <x:v>15</x:v>
      </x:c>
    </x:row>
    <x:row r="114">
      <x:c r="A114" s="52" t="n">
        <x:v>46334</x:v>
      </x:c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 t="str"/>
      <x:c r="L114" s="53" t="str"/>
      <x:c r="M114" s="53" t="str"/>
      <x:c r="N114" s="45" t="str">
        <x:f>IF(D114="","",D114-Profile!$E$11)</x:f>
      </x:c>
      <x:c r="O114" s="56" t="str">
        <x:f>IF(E114="","",E114/Profile!$E$12)</x:f>
      </x:c>
      <x:c r="P114" s="58" t="str">
        <x:f>IF(COUNT(INDEX($B:$B,MAX(4,ROW()-6)):B114)=0,"",AVERAGE(INDEX($B:$B,MAX(4,ROW()-6)):B114))</x:f>
      </x:c>
      <x:c r="Q114" s="56" t="str">
        <x:f>IF(OR(D114="",E114=""),"",IF(AND(ABS(N114)&lt;=150,O114&gt;=0.9),1,0))</x:f>
      </x:c>
      <x:c r="R114" s="56" t="n">
        <x:f>IF(L114="Да",1,IF(L114="Частично",0.5,0))</x:f>
        <x:v>0</x:v>
      </x:c>
      <x:c r="S114" s="45" t="n">
        <x:f>IF(A114="","",INT((A114-Profile!$B$15)/7)+1)</x:f>
        <x:v>15</x:v>
      </x:c>
    </x:row>
    <x:row r="115">
      <x:c r="A115" s="52" t="n">
        <x:v>46335</x:v>
      </x:c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 t="str"/>
      <x:c r="L115" s="53" t="str"/>
      <x:c r="M115" s="53" t="str"/>
      <x:c r="N115" s="45" t="str">
        <x:f>IF(D115="","",D115-Profile!$E$11)</x:f>
      </x:c>
      <x:c r="O115" s="56" t="str">
        <x:f>IF(E115="","",E115/Profile!$E$12)</x:f>
      </x:c>
      <x:c r="P115" s="58" t="str">
        <x:f>IF(COUNT(INDEX($B:$B,MAX(4,ROW()-6)):B115)=0,"",AVERAGE(INDEX($B:$B,MAX(4,ROW()-6)):B115))</x:f>
      </x:c>
      <x:c r="Q115" s="56" t="str">
        <x:f>IF(OR(D115="",E115=""),"",IF(AND(ABS(N115)&lt;=150,O115&gt;=0.9),1,0))</x:f>
      </x:c>
      <x:c r="R115" s="56" t="n">
        <x:f>IF(L115="Да",1,IF(L115="Частично",0.5,0))</x:f>
        <x:v>0</x:v>
      </x:c>
      <x:c r="S115" s="45" t="n">
        <x:f>IF(A115="","",INT((A115-Profile!$B$15)/7)+1)</x:f>
        <x:v>16</x:v>
      </x:c>
    </x:row>
    <x:row r="116">
      <x:c r="A116" s="52" t="n">
        <x:v>46336</x:v>
      </x:c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 t="str"/>
      <x:c r="L116" s="53" t="str"/>
      <x:c r="M116" s="53" t="str"/>
      <x:c r="N116" s="45" t="str">
        <x:f>IF(D116="","",D116-Profile!$E$11)</x:f>
      </x:c>
      <x:c r="O116" s="56" t="str">
        <x:f>IF(E116="","",E116/Profile!$E$12)</x:f>
      </x:c>
      <x:c r="P116" s="58" t="str">
        <x:f>IF(COUNT(INDEX($B:$B,MAX(4,ROW()-6)):B116)=0,"",AVERAGE(INDEX($B:$B,MAX(4,ROW()-6)):B116))</x:f>
      </x:c>
      <x:c r="Q116" s="56" t="str">
        <x:f>IF(OR(D116="",E116=""),"",IF(AND(ABS(N116)&lt;=150,O116&gt;=0.9),1,0))</x:f>
      </x:c>
      <x:c r="R116" s="56" t="n">
        <x:f>IF(L116="Да",1,IF(L116="Частично",0.5,0))</x:f>
        <x:v>0</x:v>
      </x:c>
      <x:c r="S116" s="45" t="n">
        <x:f>IF(A116="","",INT((A116-Profile!$B$15)/7)+1)</x:f>
        <x:v>16</x:v>
      </x:c>
    </x:row>
    <x:row r="117">
      <x:c r="A117" s="52" t="n">
        <x:v>46337</x:v>
      </x:c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 t="str"/>
      <x:c r="L117" s="53" t="str"/>
      <x:c r="M117" s="53" t="str"/>
      <x:c r="N117" s="45" t="str">
        <x:f>IF(D117="","",D117-Profile!$E$11)</x:f>
      </x:c>
      <x:c r="O117" s="56" t="str">
        <x:f>IF(E117="","",E117/Profile!$E$12)</x:f>
      </x:c>
      <x:c r="P117" s="58" t="str">
        <x:f>IF(COUNT(INDEX($B:$B,MAX(4,ROW()-6)):B117)=0,"",AVERAGE(INDEX($B:$B,MAX(4,ROW()-6)):B117))</x:f>
      </x:c>
      <x:c r="Q117" s="56" t="str">
        <x:f>IF(OR(D117="",E117=""),"",IF(AND(ABS(N117)&lt;=150,O117&gt;=0.9),1,0))</x:f>
      </x:c>
      <x:c r="R117" s="56" t="n">
        <x:f>IF(L117="Да",1,IF(L117="Частично",0.5,0))</x:f>
        <x:v>0</x:v>
      </x:c>
      <x:c r="S117" s="45" t="n">
        <x:f>IF(A117="","",INT((A117-Profile!$B$15)/7)+1)</x:f>
        <x:v>16</x:v>
      </x:c>
    </x:row>
    <x:row r="118">
      <x:c r="A118" s="52" t="n">
        <x:v>46338</x:v>
      </x:c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 t="str"/>
      <x:c r="L118" s="53" t="str"/>
      <x:c r="M118" s="53" t="str"/>
      <x:c r="N118" s="45" t="str">
        <x:f>IF(D118="","",D118-Profile!$E$11)</x:f>
      </x:c>
      <x:c r="O118" s="56" t="str">
        <x:f>IF(E118="","",E118/Profile!$E$12)</x:f>
      </x:c>
      <x:c r="P118" s="58" t="str">
        <x:f>IF(COUNT(INDEX($B:$B,MAX(4,ROW()-6)):B118)=0,"",AVERAGE(INDEX($B:$B,MAX(4,ROW()-6)):B118))</x:f>
      </x:c>
      <x:c r="Q118" s="56" t="str">
        <x:f>IF(OR(D118="",E118=""),"",IF(AND(ABS(N118)&lt;=150,O118&gt;=0.9),1,0))</x:f>
      </x:c>
      <x:c r="R118" s="56" t="n">
        <x:f>IF(L118="Да",1,IF(L118="Частично",0.5,0))</x:f>
        <x:v>0</x:v>
      </x:c>
      <x:c r="S118" s="45" t="n">
        <x:f>IF(A118="","",INT((A118-Profile!$B$15)/7)+1)</x:f>
        <x:v>16</x:v>
      </x:c>
    </x:row>
    <x:row r="119">
      <x:c r="A119" s="52" t="n">
        <x:v>46339</x:v>
      </x:c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 t="str"/>
      <x:c r="L119" s="53" t="str"/>
      <x:c r="M119" s="53" t="str"/>
      <x:c r="N119" s="45" t="str">
        <x:f>IF(D119="","",D119-Profile!$E$11)</x:f>
      </x:c>
      <x:c r="O119" s="56" t="str">
        <x:f>IF(E119="","",E119/Profile!$E$12)</x:f>
      </x:c>
      <x:c r="P119" s="58" t="str">
        <x:f>IF(COUNT(INDEX($B:$B,MAX(4,ROW()-6)):B119)=0,"",AVERAGE(INDEX($B:$B,MAX(4,ROW()-6)):B119))</x:f>
      </x:c>
      <x:c r="Q119" s="56" t="str">
        <x:f>IF(OR(D119="",E119=""),"",IF(AND(ABS(N119)&lt;=150,O119&gt;=0.9),1,0))</x:f>
      </x:c>
      <x:c r="R119" s="56" t="n">
        <x:f>IF(L119="Да",1,IF(L119="Частично",0.5,0))</x:f>
        <x:v>0</x:v>
      </x:c>
      <x:c r="S119" s="45" t="n">
        <x:f>IF(A119="","",INT((A119-Profile!$B$15)/7)+1)</x:f>
        <x:v>16</x:v>
      </x:c>
    </x:row>
    <x:row r="120">
      <x:c r="A120" s="52" t="n">
        <x:v>46340</x:v>
      </x:c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 t="str"/>
      <x:c r="L120" s="53" t="str"/>
      <x:c r="M120" s="53" t="str"/>
      <x:c r="N120" s="45" t="str">
        <x:f>IF(D120="","",D120-Profile!$E$11)</x:f>
      </x:c>
      <x:c r="O120" s="56" t="str">
        <x:f>IF(E120="","",E120/Profile!$E$12)</x:f>
      </x:c>
      <x:c r="P120" s="58" t="str">
        <x:f>IF(COUNT(INDEX($B:$B,MAX(4,ROW()-6)):B120)=0,"",AVERAGE(INDEX($B:$B,MAX(4,ROW()-6)):B120))</x:f>
      </x:c>
      <x:c r="Q120" s="56" t="str">
        <x:f>IF(OR(D120="",E120=""),"",IF(AND(ABS(N120)&lt;=150,O120&gt;=0.9),1,0))</x:f>
      </x:c>
      <x:c r="R120" s="56" t="n">
        <x:f>IF(L120="Да",1,IF(L120="Частично",0.5,0))</x:f>
        <x:v>0</x:v>
      </x:c>
      <x:c r="S120" s="45" t="n">
        <x:f>IF(A120="","",INT((A120-Profile!$B$15)/7)+1)</x:f>
        <x:v>16</x:v>
      </x:c>
    </x:row>
    <x:row r="121">
      <x:c r="A121" s="52" t="n">
        <x:v>46341</x:v>
      </x:c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 t="str"/>
      <x:c r="L121" s="53" t="str"/>
      <x:c r="M121" s="53" t="str"/>
      <x:c r="N121" s="45" t="str">
        <x:f>IF(D121="","",D121-Profile!$E$11)</x:f>
      </x:c>
      <x:c r="O121" s="56" t="str">
        <x:f>IF(E121="","",E121/Profile!$E$12)</x:f>
      </x:c>
      <x:c r="P121" s="58" t="str">
        <x:f>IF(COUNT(INDEX($B:$B,MAX(4,ROW()-6)):B121)=0,"",AVERAGE(INDEX($B:$B,MAX(4,ROW()-6)):B121))</x:f>
      </x:c>
      <x:c r="Q121" s="56" t="str">
        <x:f>IF(OR(D121="",E121=""),"",IF(AND(ABS(N121)&lt;=150,O121&gt;=0.9),1,0))</x:f>
      </x:c>
      <x:c r="R121" s="56" t="n">
        <x:f>IF(L121="Да",1,IF(L121="Частично",0.5,0))</x:f>
        <x:v>0</x:v>
      </x:c>
      <x:c r="S121" s="45" t="n">
        <x:f>IF(A121="","",INT((A121-Profile!$B$15)/7)+1)</x:f>
        <x:v>16</x:v>
      </x:c>
    </x:row>
    <x:row r="122">
      <x:c r="A122" s="52" t="n">
        <x:v>46342</x:v>
      </x:c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 t="str"/>
      <x:c r="L122" s="53" t="str"/>
      <x:c r="M122" s="53" t="str"/>
      <x:c r="N122" s="45" t="str">
        <x:f>IF(D122="","",D122-Profile!$E$11)</x:f>
      </x:c>
      <x:c r="O122" s="56" t="str">
        <x:f>IF(E122="","",E122/Profile!$E$12)</x:f>
      </x:c>
      <x:c r="P122" s="58" t="str">
        <x:f>IF(COUNT(INDEX($B:$B,MAX(4,ROW()-6)):B122)=0,"",AVERAGE(INDEX($B:$B,MAX(4,ROW()-6)):B122))</x:f>
      </x:c>
      <x:c r="Q122" s="56" t="str">
        <x:f>IF(OR(D122="",E122=""),"",IF(AND(ABS(N122)&lt;=150,O122&gt;=0.9),1,0))</x:f>
      </x:c>
      <x:c r="R122" s="56" t="n">
        <x:f>IF(L122="Да",1,IF(L122="Частично",0.5,0))</x:f>
        <x:v>0</x:v>
      </x:c>
      <x:c r="S122" s="45" t="n">
        <x:f>IF(A122="","",INT((A122-Profile!$B$15)/7)+1)</x:f>
        <x:v>17</x:v>
      </x:c>
    </x:row>
    <x:row r="123">
      <x:c r="A123" s="52" t="n">
        <x:v>46343</x:v>
      </x:c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 t="str"/>
      <x:c r="L123" s="53" t="str"/>
      <x:c r="M123" s="53" t="str"/>
      <x:c r="N123" s="45" t="str">
        <x:f>IF(D123="","",D123-Profile!$E$11)</x:f>
      </x:c>
      <x:c r="O123" s="56" t="str">
        <x:f>IF(E123="","",E123/Profile!$E$12)</x:f>
      </x:c>
      <x:c r="P123" s="58" t="str">
        <x:f>IF(COUNT(INDEX($B:$B,MAX(4,ROW()-6)):B123)=0,"",AVERAGE(INDEX($B:$B,MAX(4,ROW()-6)):B123))</x:f>
      </x:c>
      <x:c r="Q123" s="56" t="str">
        <x:f>IF(OR(D123="",E123=""),"",IF(AND(ABS(N123)&lt;=150,O123&gt;=0.9),1,0))</x:f>
      </x:c>
      <x:c r="R123" s="56" t="n">
        <x:f>IF(L123="Да",1,IF(L123="Частично",0.5,0))</x:f>
        <x:v>0</x:v>
      </x:c>
      <x:c r="S123" s="45" t="n">
        <x:f>IF(A123="","",INT((A123-Profile!$B$15)/7)+1)</x:f>
        <x:v>17</x:v>
      </x:c>
    </x:row>
  </x:sheetData>
  <x:mergeCells>
    <x:mergeCell ref="A1:S1"/>
  </x:mergeCells>
  <x:conditionalFormatting sqref="Q4:Q123">
    <x:cfRule type="cellIs" dxfId="0" priority="1">
      <x:formula>1</x:formula>
    </x:cfRule>
  </x:conditionalFormatting>
  <x:conditionalFormatting sqref="I4:J123">
    <x:cfRule type="colorScale" priority="2">
      <x:colorScale>
        <x:cfvo type="min"/>
        <x:cfvo type="percentile" val="50"/>
        <x:cfvo type="max"/>
        <x:color rgb="FFDFF2E6"/>
        <x:color rgb="FFFFF0C7"/>
        <x:color rgb="FFFFD5D5"/>
      </x:colorScale>
    </x:cfRule>
  </x:conditionalFormatting>
  <x:dataValidations count="4">
    <x:dataValidation type="list" sqref="K4:K123">
      <x:formula1>",Full Body A,Full Body B,Full Body C,Motor Control A,Motor Control B,Ходьба/восстановление"</x:formula1>
    </x:dataValidation>
    <x:dataValidation type="list" sqref="L4:L123">
      <x:formula1>",Да,Частично,Нет"</x:formula1>
    </x:dataValidation>
    <x:dataValidation type="list" sqref="H4:H123">
      <x:formula1>"1,2,3,4,5"</x:formula1>
    </x:dataValidation>
    <x:dataValidation type="list" sqref="I4:J123">
      <x:formula1>"0,1,2,3,4,5,6,7,8,9,10"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39160efbfd42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</x:cols>
  <x:sheetData>
    <x:row r="1" ht="32" customHeight="1">
      <x:c r="A1" s="4" t="str">
        <x:v>Недельный обзор и решение по калориям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8" t="str">
        <x:v>Неделя</x:v>
      </x:c>
      <x:c r="B3" s="18" t="str">
        <x:v>Начало</x:v>
      </x:c>
      <x:c r="C3" s="18" t="str">
        <x:v>Конец</x:v>
      </x:c>
      <x:c r="D3" s="18" t="str">
        <x:v>Вес ср., кг</x:v>
      </x:c>
      <x:c r="E3" s="18" t="str">
        <x:v>Δ кг</x:v>
      </x:c>
      <x:c r="F3" s="18" t="str">
        <x:v>Δ %/нед</x:v>
      </x:c>
      <x:c r="G3" s="18" t="str">
        <x:v>Талия ср., см</x:v>
      </x:c>
      <x:c r="H3" s="18" t="str">
        <x:v>Ккал ср.</x:v>
      </x:c>
      <x:c r="I3" s="18" t="str">
        <x:v>Питание adherence</x:v>
      </x:c>
      <x:c r="J3" s="18" t="str">
        <x:v>Белок ср., г</x:v>
      </x:c>
      <x:c r="K3" s="18" t="str">
        <x:v>Сессии score</x:v>
      </x:c>
      <x:c r="L3" s="18" t="str">
        <x:v>Боль ср.</x:v>
      </x:c>
      <x:c r="M3" s="18" t="str">
        <x:v>Стресс ср.</x:v>
      </x:c>
      <x:c r="N3" s="18" t="str">
        <x:v>Решение</x:v>
      </x:c>
    </x:row>
    <x:row r="4">
      <x:c r="A4" s="24" t="n">
        <x:v>1</x:v>
      </x:c>
      <x:c r="B4" s="50" t="n">
        <x:f>Profile!$B$15+(A4-1)*7</x:f>
        <x:v>46230</x:v>
      </x:c>
      <x:c r="C4" s="50" t="n">
        <x:f>B4+6</x:f>
        <x:v>46236</x:v>
      </x:c>
      <x:c r="D4" s="24" t="str">
        <x:f>IFERROR(SUMIFS(Daily_Log!$B$4:$B$123,Daily_Log!$A$4:$A$123,"&gt;="&amp;B4,Daily_Log!$A$4:$A$123,"&lt;="&amp;C4)/COUNTIFS(Daily_Log!$A$4:$A$123,"&gt;="&amp;B4,Daily_Log!$A$4:$A$123,"&lt;="&amp;C4,Daily_Log!$B$4:$B$123,"&gt;0"),"")</x:f>
      </x:c>
      <x:c r="E4" s="24" t="str"/>
      <x:c r="F4" s="64" t="str"/>
      <x:c r="G4" s="24" t="str">
        <x:f>IFERROR(SUMIFS(Daily_Log!$C$4:$C$123,Daily_Log!$A$4:$A$123,"&gt;="&amp;B4,Daily_Log!$A$4:$A$123,"&lt;="&amp;C4)/COUNTIFS(Daily_Log!$A$4:$A$123,"&gt;="&amp;B4,Daily_Log!$A$4:$A$123,"&lt;="&amp;C4,Daily_Log!$C$4:$C$123,"&gt;0"),"")</x:f>
      </x:c>
      <x:c r="H4" s="24" t="str">
        <x:f>IFERROR(SUMIFS(Daily_Log!$D$4:$D$123,Daily_Log!$A$4:$A$123,"&gt;="&amp;B4,Daily_Log!$A$4:$A$123,"&lt;="&amp;C4)/COUNTIFS(Daily_Log!$A$4:$A$123,"&gt;="&amp;B4,Daily_Log!$A$4:$A$123,"&lt;="&amp;C4,Daily_Log!$D$4:$D$123,"&gt;0"),"")</x:f>
      </x:c>
      <x:c r="I4" s="65" t="n">
        <x:f>IFERROR(SUMIFS(Daily_Log!$Q$4:$Q$123,Daily_Log!$A$4:$A$123,"&gt;="&amp;B4,Daily_Log!$A$4:$A$123,"&lt;="&amp;C4)/COUNTIFS(Daily_Log!$A$4:$A$123,"&gt;="&amp;B4,Daily_Log!$A$4:$A$123,"&lt;="&amp;C4,Daily_Log!$Q$4:$Q$123,"&lt;&gt;"),"")</x:f>
        <x:v>0</x:v>
      </x:c>
      <x:c r="J4" s="24" t="str">
        <x:f>IFERROR(SUMIFS(Daily_Log!$E$4:$E$123,Daily_Log!$A$4:$A$123,"&gt;="&amp;B4,Daily_Log!$A$4:$A$123,"&lt;="&amp;C4)/COUNTIFS(Daily_Log!$A$4:$A$123,"&gt;="&amp;B4,Daily_Log!$A$4:$A$123,"&lt;="&amp;C4,Daily_Log!$E$4:$E$123,"&gt;0"),"")</x:f>
      </x:c>
      <x:c r="K4" s="24" t="n">
        <x:f>SUMIFS(Daily_Log!$R$4:$R$123,Daily_Log!$A$4:$A$123,"&gt;="&amp;B4,Daily_Log!$A$4:$A$123,"&lt;="&amp;C4)</x:f>
        <x:v>0</x:v>
      </x:c>
      <x:c r="L4" s="24" t="str">
        <x:f>IFERROR(SUMIFS(Daily_Log!$I$4:$I$123,Daily_Log!$A$4:$A$123,"&gt;="&amp;B4,Daily_Log!$A$4:$A$123,"&lt;="&amp;C4)/COUNTIFS(Daily_Log!$A$4:$A$123,"&gt;="&amp;B4,Daily_Log!$A$4:$A$123,"&lt;="&amp;C4,Daily_Log!$I$4:$I$123,"&gt;0"),"")</x:f>
      </x:c>
      <x:c r="M4" s="24" t="str">
        <x:f>IFERROR(SUMIFS(Daily_Log!$H$4:$H$123,Daily_Log!$A$4:$A$123,"&gt;="&amp;B4,Daily_Log!$A$4:$A$123,"&lt;="&amp;C4)/COUNTIFS(Daily_Log!$A$4:$A$123,"&gt;="&amp;B4,Daily_Log!$A$4:$A$123,"&lt;="&amp;C4,Daily_Log!$H$4:$H$123,"&gt;0"),"")</x:f>
      </x:c>
      <x:c r="N4" s="24" t="str">
        <x:f>IF(D4="","Нужно ≥7 дней данных","Базовая неделя — оставить")</x:f>
        <x:v>Нужно ≥7 дней данных</x:v>
      </x:c>
    </x:row>
    <x:row r="5">
      <x:c r="A5" s="24" t="n">
        <x:v>2</x:v>
      </x:c>
      <x:c r="B5" s="50" t="n">
        <x:f>Profile!$B$15+(A5-1)*7</x:f>
        <x:v>46237</x:v>
      </x:c>
      <x:c r="C5" s="50" t="n">
        <x:f>B5+6</x:f>
        <x:v>46243</x:v>
      </x:c>
      <x:c r="D5" s="24" t="str">
        <x:f>IFERROR(SUMIFS(Daily_Log!$B$4:$B$123,Daily_Log!$A$4:$A$123,"&gt;="&amp;B5,Daily_Log!$A$4:$A$123,"&lt;="&amp;C5)/COUNTIFS(Daily_Log!$A$4:$A$123,"&gt;="&amp;B5,Daily_Log!$A$4:$A$123,"&lt;="&amp;C5,Daily_Log!$B$4:$B$123,"&gt;0"),"")</x:f>
      </x:c>
      <x:c r="E5" s="24" t="str">
        <x:f>IF(OR(D5="",D4=""),"",D5-D4)</x:f>
      </x:c>
      <x:c r="F5" s="64" t="str">
        <x:f>IF(OR(D5="",D4=""),"",E5/D4)</x:f>
      </x:c>
      <x:c r="G5" s="24" t="str">
        <x:f>IFERROR(SUMIFS(Daily_Log!$C$4:$C$123,Daily_Log!$A$4:$A$123,"&gt;="&amp;B5,Daily_Log!$A$4:$A$123,"&lt;="&amp;C5)/COUNTIFS(Daily_Log!$A$4:$A$123,"&gt;="&amp;B5,Daily_Log!$A$4:$A$123,"&lt;="&amp;C5,Daily_Log!$C$4:$C$123,"&gt;0"),"")</x:f>
      </x:c>
      <x:c r="H5" s="24" t="str">
        <x:f>IFERROR(SUMIFS(Daily_Log!$D$4:$D$123,Daily_Log!$A$4:$A$123,"&gt;="&amp;B5,Daily_Log!$A$4:$A$123,"&lt;="&amp;C5)/COUNTIFS(Daily_Log!$A$4:$A$123,"&gt;="&amp;B5,Daily_Log!$A$4:$A$123,"&lt;="&amp;C5,Daily_Log!$D$4:$D$123,"&gt;0"),"")</x:f>
      </x:c>
      <x:c r="I5" s="65" t="n">
        <x:f>IFERROR(SUMIFS(Daily_Log!$Q$4:$Q$123,Daily_Log!$A$4:$A$123,"&gt;="&amp;B5,Daily_Log!$A$4:$A$123,"&lt;="&amp;C5)/COUNTIFS(Daily_Log!$A$4:$A$123,"&gt;="&amp;B5,Daily_Log!$A$4:$A$123,"&lt;="&amp;C5,Daily_Log!$Q$4:$Q$123,"&lt;&gt;"),"")</x:f>
        <x:v>0</x:v>
      </x:c>
      <x:c r="J5" s="24" t="str">
        <x:f>IFERROR(SUMIFS(Daily_Log!$E$4:$E$123,Daily_Log!$A$4:$A$123,"&gt;="&amp;B5,Daily_Log!$A$4:$A$123,"&lt;="&amp;C5)/COUNTIFS(Daily_Log!$A$4:$A$123,"&gt;="&amp;B5,Daily_Log!$A$4:$A$123,"&lt;="&amp;C5,Daily_Log!$E$4:$E$123,"&gt;0"),"")</x:f>
      </x:c>
      <x:c r="K5" s="24" t="n">
        <x:f>SUMIFS(Daily_Log!$R$4:$R$123,Daily_Log!$A$4:$A$123,"&gt;="&amp;B5,Daily_Log!$A$4:$A$123,"&lt;="&amp;C5)</x:f>
        <x:v>0</x:v>
      </x:c>
      <x:c r="L5" s="24" t="str">
        <x:f>IFERROR(SUMIFS(Daily_Log!$I$4:$I$123,Daily_Log!$A$4:$A$123,"&gt;="&amp;B5,Daily_Log!$A$4:$A$123,"&lt;="&amp;C5)/COUNTIFS(Daily_Log!$A$4:$A$123,"&gt;="&amp;B5,Daily_Log!$A$4:$A$123,"&lt;="&amp;C5,Daily_Log!$I$4:$I$123,"&gt;0"),"")</x:f>
      </x:c>
      <x:c r="M5" s="24" t="str">
        <x:f>IFERROR(SUMIFS(Daily_Log!$H$4:$H$123,Daily_Log!$A$4:$A$123,"&gt;="&amp;B5,Daily_Log!$A$4:$A$123,"&lt;="&amp;C5)/COUNTIFS(Daily_Log!$A$4:$A$123,"&gt;="&amp;B5,Daily_Log!$A$4:$A$123,"&lt;="&amp;C5,Daily_Log!$H$4:$H$123,"&gt;0"),"")</x:f>
      </x:c>
      <x:c r="N5" s="24" t="str">
        <x:f>IF(D5="","Недостаточно данных",IF(I5&lt;0.8,"Сначала исправить учёт",IF(OR(F5&lt;-0.0075,L5&gt;3,M5&gt;4),"+100–150 ккал / снизить нагрузку",IF(AND(F5&gt;-0.0015,OR(G5="",G5&gt;=G4)),"−100 ккал","Оставить"))))</x:f>
        <x:v>Недостаточно данных</x:v>
      </x:c>
    </x:row>
    <x:row r="6">
      <x:c r="A6" s="24" t="n">
        <x:v>3</x:v>
      </x:c>
      <x:c r="B6" s="50" t="n">
        <x:f>Profile!$B$15+(A6-1)*7</x:f>
        <x:v>46244</x:v>
      </x:c>
      <x:c r="C6" s="50" t="n">
        <x:f>B6+6</x:f>
        <x:v>46250</x:v>
      </x:c>
      <x:c r="D6" s="24" t="str">
        <x:f>IFERROR(SUMIFS(Daily_Log!$B$4:$B$123,Daily_Log!$A$4:$A$123,"&gt;="&amp;B6,Daily_Log!$A$4:$A$123,"&lt;="&amp;C6)/COUNTIFS(Daily_Log!$A$4:$A$123,"&gt;="&amp;B6,Daily_Log!$A$4:$A$123,"&lt;="&amp;C6,Daily_Log!$B$4:$B$123,"&gt;0"),"")</x:f>
      </x:c>
      <x:c r="E6" s="24" t="str">
        <x:f>IF(OR(D6="",D5=""),"",D6-D5)</x:f>
      </x:c>
      <x:c r="F6" s="64" t="str">
        <x:f>IF(OR(D6="",D5=""),"",E6/D5)</x:f>
      </x:c>
      <x:c r="G6" s="24" t="str">
        <x:f>IFERROR(SUMIFS(Daily_Log!$C$4:$C$123,Daily_Log!$A$4:$A$123,"&gt;="&amp;B6,Daily_Log!$A$4:$A$123,"&lt;="&amp;C6)/COUNTIFS(Daily_Log!$A$4:$A$123,"&gt;="&amp;B6,Daily_Log!$A$4:$A$123,"&lt;="&amp;C6,Daily_Log!$C$4:$C$123,"&gt;0"),"")</x:f>
      </x:c>
      <x:c r="H6" s="24" t="str">
        <x:f>IFERROR(SUMIFS(Daily_Log!$D$4:$D$123,Daily_Log!$A$4:$A$123,"&gt;="&amp;B6,Daily_Log!$A$4:$A$123,"&lt;="&amp;C6)/COUNTIFS(Daily_Log!$A$4:$A$123,"&gt;="&amp;B6,Daily_Log!$A$4:$A$123,"&lt;="&amp;C6,Daily_Log!$D$4:$D$123,"&gt;0"),"")</x:f>
      </x:c>
      <x:c r="I6" s="65" t="n">
        <x:f>IFERROR(SUMIFS(Daily_Log!$Q$4:$Q$123,Daily_Log!$A$4:$A$123,"&gt;="&amp;B6,Daily_Log!$A$4:$A$123,"&lt;="&amp;C6)/COUNTIFS(Daily_Log!$A$4:$A$123,"&gt;="&amp;B6,Daily_Log!$A$4:$A$123,"&lt;="&amp;C6,Daily_Log!$Q$4:$Q$123,"&lt;&gt;"),"")</x:f>
        <x:v>0</x:v>
      </x:c>
      <x:c r="J6" s="24" t="str">
        <x:f>IFERROR(SUMIFS(Daily_Log!$E$4:$E$123,Daily_Log!$A$4:$A$123,"&gt;="&amp;B6,Daily_Log!$A$4:$A$123,"&lt;="&amp;C6)/COUNTIFS(Daily_Log!$A$4:$A$123,"&gt;="&amp;B6,Daily_Log!$A$4:$A$123,"&lt;="&amp;C6,Daily_Log!$E$4:$E$123,"&gt;0"),"")</x:f>
      </x:c>
      <x:c r="K6" s="24" t="n">
        <x:f>SUMIFS(Daily_Log!$R$4:$R$123,Daily_Log!$A$4:$A$123,"&gt;="&amp;B6,Daily_Log!$A$4:$A$123,"&lt;="&amp;C6)</x:f>
        <x:v>0</x:v>
      </x:c>
      <x:c r="L6" s="24" t="str">
        <x:f>IFERROR(SUMIFS(Daily_Log!$I$4:$I$123,Daily_Log!$A$4:$A$123,"&gt;="&amp;B6,Daily_Log!$A$4:$A$123,"&lt;="&amp;C6)/COUNTIFS(Daily_Log!$A$4:$A$123,"&gt;="&amp;B6,Daily_Log!$A$4:$A$123,"&lt;="&amp;C6,Daily_Log!$I$4:$I$123,"&gt;0"),"")</x:f>
      </x:c>
      <x:c r="M6" s="24" t="str">
        <x:f>IFERROR(SUMIFS(Daily_Log!$H$4:$H$123,Daily_Log!$A$4:$A$123,"&gt;="&amp;B6,Daily_Log!$A$4:$A$123,"&lt;="&amp;C6)/COUNTIFS(Daily_Log!$A$4:$A$123,"&gt;="&amp;B6,Daily_Log!$A$4:$A$123,"&lt;="&amp;C6,Daily_Log!$H$4:$H$123,"&gt;0"),"")</x:f>
      </x:c>
      <x:c r="N6" s="24" t="str">
        <x:f>IF(D6="","Недостаточно данных",IF(I6&lt;0.8,"Сначала исправить учёт",IF(OR(F6&lt;-0.0075,L6&gt;3,M6&gt;4),"+100–150 ккал / снизить нагрузку",IF(AND(F6&gt;-0.0015,OR(G6="",G6&gt;=G5)),"−100 ккал","Оставить"))))</x:f>
        <x:v>Недостаточно данных</x:v>
      </x:c>
    </x:row>
    <x:row r="7">
      <x:c r="A7" s="24" t="n">
        <x:v>4</x:v>
      </x:c>
      <x:c r="B7" s="50" t="n">
        <x:f>Profile!$B$15+(A7-1)*7</x:f>
        <x:v>46251</x:v>
      </x:c>
      <x:c r="C7" s="50" t="n">
        <x:f>B7+6</x:f>
        <x:v>46257</x:v>
      </x:c>
      <x:c r="D7" s="24" t="str">
        <x:f>IFERROR(SUMIFS(Daily_Log!$B$4:$B$123,Daily_Log!$A$4:$A$123,"&gt;="&amp;B7,Daily_Log!$A$4:$A$123,"&lt;="&amp;C7)/COUNTIFS(Daily_Log!$A$4:$A$123,"&gt;="&amp;B7,Daily_Log!$A$4:$A$123,"&lt;="&amp;C7,Daily_Log!$B$4:$B$123,"&gt;0"),"")</x:f>
      </x:c>
      <x:c r="E7" s="24" t="str">
        <x:f>IF(OR(D7="",D6=""),"",D7-D6)</x:f>
      </x:c>
      <x:c r="F7" s="64" t="str">
        <x:f>IF(OR(D7="",D6=""),"",E7/D6)</x:f>
      </x:c>
      <x:c r="G7" s="24" t="str">
        <x:f>IFERROR(SUMIFS(Daily_Log!$C$4:$C$123,Daily_Log!$A$4:$A$123,"&gt;="&amp;B7,Daily_Log!$A$4:$A$123,"&lt;="&amp;C7)/COUNTIFS(Daily_Log!$A$4:$A$123,"&gt;="&amp;B7,Daily_Log!$A$4:$A$123,"&lt;="&amp;C7,Daily_Log!$C$4:$C$123,"&gt;0"),"")</x:f>
      </x:c>
      <x:c r="H7" s="24" t="str">
        <x:f>IFERROR(SUMIFS(Daily_Log!$D$4:$D$123,Daily_Log!$A$4:$A$123,"&gt;="&amp;B7,Daily_Log!$A$4:$A$123,"&lt;="&amp;C7)/COUNTIFS(Daily_Log!$A$4:$A$123,"&gt;="&amp;B7,Daily_Log!$A$4:$A$123,"&lt;="&amp;C7,Daily_Log!$D$4:$D$123,"&gt;0"),"")</x:f>
      </x:c>
      <x:c r="I7" s="65" t="n">
        <x:f>IFERROR(SUMIFS(Daily_Log!$Q$4:$Q$123,Daily_Log!$A$4:$A$123,"&gt;="&amp;B7,Daily_Log!$A$4:$A$123,"&lt;="&amp;C7)/COUNTIFS(Daily_Log!$A$4:$A$123,"&gt;="&amp;B7,Daily_Log!$A$4:$A$123,"&lt;="&amp;C7,Daily_Log!$Q$4:$Q$123,"&lt;&gt;"),"")</x:f>
        <x:v>0</x:v>
      </x:c>
      <x:c r="J7" s="24" t="str">
        <x:f>IFERROR(SUMIFS(Daily_Log!$E$4:$E$123,Daily_Log!$A$4:$A$123,"&gt;="&amp;B7,Daily_Log!$A$4:$A$123,"&lt;="&amp;C7)/COUNTIFS(Daily_Log!$A$4:$A$123,"&gt;="&amp;B7,Daily_Log!$A$4:$A$123,"&lt;="&amp;C7,Daily_Log!$E$4:$E$123,"&gt;0"),"")</x:f>
      </x:c>
      <x:c r="K7" s="24" t="n">
        <x:f>SUMIFS(Daily_Log!$R$4:$R$123,Daily_Log!$A$4:$A$123,"&gt;="&amp;B7,Daily_Log!$A$4:$A$123,"&lt;="&amp;C7)</x:f>
        <x:v>0</x:v>
      </x:c>
      <x:c r="L7" s="24" t="str">
        <x:f>IFERROR(SUMIFS(Daily_Log!$I$4:$I$123,Daily_Log!$A$4:$A$123,"&gt;="&amp;B7,Daily_Log!$A$4:$A$123,"&lt;="&amp;C7)/COUNTIFS(Daily_Log!$A$4:$A$123,"&gt;="&amp;B7,Daily_Log!$A$4:$A$123,"&lt;="&amp;C7,Daily_Log!$I$4:$I$123,"&gt;0"),"")</x:f>
      </x:c>
      <x:c r="M7" s="24" t="str">
        <x:f>IFERROR(SUMIFS(Daily_Log!$H$4:$H$123,Daily_Log!$A$4:$A$123,"&gt;="&amp;B7,Daily_Log!$A$4:$A$123,"&lt;="&amp;C7)/COUNTIFS(Daily_Log!$A$4:$A$123,"&gt;="&amp;B7,Daily_Log!$A$4:$A$123,"&lt;="&amp;C7,Daily_Log!$H$4:$H$123,"&gt;0"),"")</x:f>
      </x:c>
      <x:c r="N7" s="24" t="str">
        <x:f>IF(D7="","Недостаточно данных",IF(I7&lt;0.8,"Сначала исправить учёт",IF(OR(F7&lt;-0.0075,L7&gt;3,M7&gt;4),"+100–150 ккал / снизить нагрузку",IF(AND(F7&gt;-0.0015,OR(G7="",G7&gt;=G6)),"−100 ккал","Оставить"))))</x:f>
        <x:v>Недостаточно данных</x:v>
      </x:c>
    </x:row>
    <x:row r="8">
      <x:c r="A8" s="24" t="n">
        <x:v>5</x:v>
      </x:c>
      <x:c r="B8" s="50" t="n">
        <x:f>Profile!$B$15+(A8-1)*7</x:f>
        <x:v>46258</x:v>
      </x:c>
      <x:c r="C8" s="50" t="n">
        <x:f>B8+6</x:f>
        <x:v>46264</x:v>
      </x:c>
      <x:c r="D8" s="24" t="str">
        <x:f>IFERROR(SUMIFS(Daily_Log!$B$4:$B$123,Daily_Log!$A$4:$A$123,"&gt;="&amp;B8,Daily_Log!$A$4:$A$123,"&lt;="&amp;C8)/COUNTIFS(Daily_Log!$A$4:$A$123,"&gt;="&amp;B8,Daily_Log!$A$4:$A$123,"&lt;="&amp;C8,Daily_Log!$B$4:$B$123,"&gt;0"),"")</x:f>
      </x:c>
      <x:c r="E8" s="24" t="str">
        <x:f>IF(OR(D8="",D7=""),"",D8-D7)</x:f>
      </x:c>
      <x:c r="F8" s="64" t="str">
        <x:f>IF(OR(D8="",D7=""),"",E8/D7)</x:f>
      </x:c>
      <x:c r="G8" s="24" t="str">
        <x:f>IFERROR(SUMIFS(Daily_Log!$C$4:$C$123,Daily_Log!$A$4:$A$123,"&gt;="&amp;B8,Daily_Log!$A$4:$A$123,"&lt;="&amp;C8)/COUNTIFS(Daily_Log!$A$4:$A$123,"&gt;="&amp;B8,Daily_Log!$A$4:$A$123,"&lt;="&amp;C8,Daily_Log!$C$4:$C$123,"&gt;0"),"")</x:f>
      </x:c>
      <x:c r="H8" s="24" t="str">
        <x:f>IFERROR(SUMIFS(Daily_Log!$D$4:$D$123,Daily_Log!$A$4:$A$123,"&gt;="&amp;B8,Daily_Log!$A$4:$A$123,"&lt;="&amp;C8)/COUNTIFS(Daily_Log!$A$4:$A$123,"&gt;="&amp;B8,Daily_Log!$A$4:$A$123,"&lt;="&amp;C8,Daily_Log!$D$4:$D$123,"&gt;0"),"")</x:f>
      </x:c>
      <x:c r="I8" s="65" t="n">
        <x:f>IFERROR(SUMIFS(Daily_Log!$Q$4:$Q$123,Daily_Log!$A$4:$A$123,"&gt;="&amp;B8,Daily_Log!$A$4:$A$123,"&lt;="&amp;C8)/COUNTIFS(Daily_Log!$A$4:$A$123,"&gt;="&amp;B8,Daily_Log!$A$4:$A$123,"&lt;="&amp;C8,Daily_Log!$Q$4:$Q$123,"&lt;&gt;"),"")</x:f>
        <x:v>0</x:v>
      </x:c>
      <x:c r="J8" s="24" t="str">
        <x:f>IFERROR(SUMIFS(Daily_Log!$E$4:$E$123,Daily_Log!$A$4:$A$123,"&gt;="&amp;B8,Daily_Log!$A$4:$A$123,"&lt;="&amp;C8)/COUNTIFS(Daily_Log!$A$4:$A$123,"&gt;="&amp;B8,Daily_Log!$A$4:$A$123,"&lt;="&amp;C8,Daily_Log!$E$4:$E$123,"&gt;0"),"")</x:f>
      </x:c>
      <x:c r="K8" s="24" t="n">
        <x:f>SUMIFS(Daily_Log!$R$4:$R$123,Daily_Log!$A$4:$A$123,"&gt;="&amp;B8,Daily_Log!$A$4:$A$123,"&lt;="&amp;C8)</x:f>
        <x:v>0</x:v>
      </x:c>
      <x:c r="L8" s="24" t="str">
        <x:f>IFERROR(SUMIFS(Daily_Log!$I$4:$I$123,Daily_Log!$A$4:$A$123,"&gt;="&amp;B8,Daily_Log!$A$4:$A$123,"&lt;="&amp;C8)/COUNTIFS(Daily_Log!$A$4:$A$123,"&gt;="&amp;B8,Daily_Log!$A$4:$A$123,"&lt;="&amp;C8,Daily_Log!$I$4:$I$123,"&gt;0"),"")</x:f>
      </x:c>
      <x:c r="M8" s="24" t="str">
        <x:f>IFERROR(SUMIFS(Daily_Log!$H$4:$H$123,Daily_Log!$A$4:$A$123,"&gt;="&amp;B8,Daily_Log!$A$4:$A$123,"&lt;="&amp;C8)/COUNTIFS(Daily_Log!$A$4:$A$123,"&gt;="&amp;B8,Daily_Log!$A$4:$A$123,"&lt;="&amp;C8,Daily_Log!$H$4:$H$123,"&gt;0"),"")</x:f>
      </x:c>
      <x:c r="N8" s="24" t="str">
        <x:f>IF(D8="","Недостаточно данных",IF(I8&lt;0.8,"Сначала исправить учёт",IF(OR(F8&lt;-0.0075,L8&gt;3,M8&gt;4),"+100–150 ккал / снизить нагрузку",IF(AND(F8&gt;-0.0015,OR(G8="",G8&gt;=G7)),"−100 ккал","Оставить"))))</x:f>
        <x:v>Недостаточно данных</x:v>
      </x:c>
    </x:row>
    <x:row r="9">
      <x:c r="A9" s="24" t="n">
        <x:v>6</x:v>
      </x:c>
      <x:c r="B9" s="50" t="n">
        <x:f>Profile!$B$15+(A9-1)*7</x:f>
        <x:v>46265</x:v>
      </x:c>
      <x:c r="C9" s="50" t="n">
        <x:f>B9+6</x:f>
        <x:v>46271</x:v>
      </x:c>
      <x:c r="D9" s="24" t="str">
        <x:f>IFERROR(SUMIFS(Daily_Log!$B$4:$B$123,Daily_Log!$A$4:$A$123,"&gt;="&amp;B9,Daily_Log!$A$4:$A$123,"&lt;="&amp;C9)/COUNTIFS(Daily_Log!$A$4:$A$123,"&gt;="&amp;B9,Daily_Log!$A$4:$A$123,"&lt;="&amp;C9,Daily_Log!$B$4:$B$123,"&gt;0"),"")</x:f>
      </x:c>
      <x:c r="E9" s="24" t="str">
        <x:f>IF(OR(D9="",D8=""),"",D9-D8)</x:f>
      </x:c>
      <x:c r="F9" s="64" t="str">
        <x:f>IF(OR(D9="",D8=""),"",E9/D8)</x:f>
      </x:c>
      <x:c r="G9" s="24" t="str">
        <x:f>IFERROR(SUMIFS(Daily_Log!$C$4:$C$123,Daily_Log!$A$4:$A$123,"&gt;="&amp;B9,Daily_Log!$A$4:$A$123,"&lt;="&amp;C9)/COUNTIFS(Daily_Log!$A$4:$A$123,"&gt;="&amp;B9,Daily_Log!$A$4:$A$123,"&lt;="&amp;C9,Daily_Log!$C$4:$C$123,"&gt;0"),"")</x:f>
      </x:c>
      <x:c r="H9" s="24" t="str">
        <x:f>IFERROR(SUMIFS(Daily_Log!$D$4:$D$123,Daily_Log!$A$4:$A$123,"&gt;="&amp;B9,Daily_Log!$A$4:$A$123,"&lt;="&amp;C9)/COUNTIFS(Daily_Log!$A$4:$A$123,"&gt;="&amp;B9,Daily_Log!$A$4:$A$123,"&lt;="&amp;C9,Daily_Log!$D$4:$D$123,"&gt;0"),"")</x:f>
      </x:c>
      <x:c r="I9" s="65" t="n">
        <x:f>IFERROR(SUMIFS(Daily_Log!$Q$4:$Q$123,Daily_Log!$A$4:$A$123,"&gt;="&amp;B9,Daily_Log!$A$4:$A$123,"&lt;="&amp;C9)/COUNTIFS(Daily_Log!$A$4:$A$123,"&gt;="&amp;B9,Daily_Log!$A$4:$A$123,"&lt;="&amp;C9,Daily_Log!$Q$4:$Q$123,"&lt;&gt;"),"")</x:f>
        <x:v>0</x:v>
      </x:c>
      <x:c r="J9" s="24" t="str">
        <x:f>IFERROR(SUMIFS(Daily_Log!$E$4:$E$123,Daily_Log!$A$4:$A$123,"&gt;="&amp;B9,Daily_Log!$A$4:$A$123,"&lt;="&amp;C9)/COUNTIFS(Daily_Log!$A$4:$A$123,"&gt;="&amp;B9,Daily_Log!$A$4:$A$123,"&lt;="&amp;C9,Daily_Log!$E$4:$E$123,"&gt;0"),"")</x:f>
      </x:c>
      <x:c r="K9" s="24" t="n">
        <x:f>SUMIFS(Daily_Log!$R$4:$R$123,Daily_Log!$A$4:$A$123,"&gt;="&amp;B9,Daily_Log!$A$4:$A$123,"&lt;="&amp;C9)</x:f>
        <x:v>0</x:v>
      </x:c>
      <x:c r="L9" s="24" t="str">
        <x:f>IFERROR(SUMIFS(Daily_Log!$I$4:$I$123,Daily_Log!$A$4:$A$123,"&gt;="&amp;B9,Daily_Log!$A$4:$A$123,"&lt;="&amp;C9)/COUNTIFS(Daily_Log!$A$4:$A$123,"&gt;="&amp;B9,Daily_Log!$A$4:$A$123,"&lt;="&amp;C9,Daily_Log!$I$4:$I$123,"&gt;0"),"")</x:f>
      </x:c>
      <x:c r="M9" s="24" t="str">
        <x:f>IFERROR(SUMIFS(Daily_Log!$H$4:$H$123,Daily_Log!$A$4:$A$123,"&gt;="&amp;B9,Daily_Log!$A$4:$A$123,"&lt;="&amp;C9)/COUNTIFS(Daily_Log!$A$4:$A$123,"&gt;="&amp;B9,Daily_Log!$A$4:$A$123,"&lt;="&amp;C9,Daily_Log!$H$4:$H$123,"&gt;0"),"")</x:f>
      </x:c>
      <x:c r="N9" s="24" t="str">
        <x:f>IF(D9="","Недостаточно данных",IF(I9&lt;0.8,"Сначала исправить учёт",IF(OR(F9&lt;-0.0075,L9&gt;3,M9&gt;4),"+100–150 ккал / снизить нагрузку",IF(AND(F9&gt;-0.0015,OR(G9="",G9&gt;=G8)),"−100 ккал","Оставить"))))</x:f>
        <x:v>Недостаточно данных</x:v>
      </x:c>
    </x:row>
    <x:row r="10">
      <x:c r="A10" s="24" t="n">
        <x:v>7</x:v>
      </x:c>
      <x:c r="B10" s="50" t="n">
        <x:f>Profile!$B$15+(A10-1)*7</x:f>
        <x:v>46272</x:v>
      </x:c>
      <x:c r="C10" s="50" t="n">
        <x:f>B10+6</x:f>
        <x:v>46278</x:v>
      </x:c>
      <x:c r="D10" s="24" t="str">
        <x:f>IFERROR(SUMIFS(Daily_Log!$B$4:$B$123,Daily_Log!$A$4:$A$123,"&gt;="&amp;B10,Daily_Log!$A$4:$A$123,"&lt;="&amp;C10)/COUNTIFS(Daily_Log!$A$4:$A$123,"&gt;="&amp;B10,Daily_Log!$A$4:$A$123,"&lt;="&amp;C10,Daily_Log!$B$4:$B$123,"&gt;0"),"")</x:f>
      </x:c>
      <x:c r="E10" s="24" t="str">
        <x:f>IF(OR(D10="",D9=""),"",D10-D9)</x:f>
      </x:c>
      <x:c r="F10" s="64" t="str">
        <x:f>IF(OR(D10="",D9=""),"",E10/D9)</x:f>
      </x:c>
      <x:c r="G10" s="24" t="str">
        <x:f>IFERROR(SUMIFS(Daily_Log!$C$4:$C$123,Daily_Log!$A$4:$A$123,"&gt;="&amp;B10,Daily_Log!$A$4:$A$123,"&lt;="&amp;C10)/COUNTIFS(Daily_Log!$A$4:$A$123,"&gt;="&amp;B10,Daily_Log!$A$4:$A$123,"&lt;="&amp;C10,Daily_Log!$C$4:$C$123,"&gt;0"),"")</x:f>
      </x:c>
      <x:c r="H10" s="24" t="str">
        <x:f>IFERROR(SUMIFS(Daily_Log!$D$4:$D$123,Daily_Log!$A$4:$A$123,"&gt;="&amp;B10,Daily_Log!$A$4:$A$123,"&lt;="&amp;C10)/COUNTIFS(Daily_Log!$A$4:$A$123,"&gt;="&amp;B10,Daily_Log!$A$4:$A$123,"&lt;="&amp;C10,Daily_Log!$D$4:$D$123,"&gt;0"),"")</x:f>
      </x:c>
      <x:c r="I10" s="65" t="n">
        <x:f>IFERROR(SUMIFS(Daily_Log!$Q$4:$Q$123,Daily_Log!$A$4:$A$123,"&gt;="&amp;B10,Daily_Log!$A$4:$A$123,"&lt;="&amp;C10)/COUNTIFS(Daily_Log!$A$4:$A$123,"&gt;="&amp;B10,Daily_Log!$A$4:$A$123,"&lt;="&amp;C10,Daily_Log!$Q$4:$Q$123,"&lt;&gt;"),"")</x:f>
        <x:v>0</x:v>
      </x:c>
      <x:c r="J10" s="24" t="str">
        <x:f>IFERROR(SUMIFS(Daily_Log!$E$4:$E$123,Daily_Log!$A$4:$A$123,"&gt;="&amp;B10,Daily_Log!$A$4:$A$123,"&lt;="&amp;C10)/COUNTIFS(Daily_Log!$A$4:$A$123,"&gt;="&amp;B10,Daily_Log!$A$4:$A$123,"&lt;="&amp;C10,Daily_Log!$E$4:$E$123,"&gt;0"),"")</x:f>
      </x:c>
      <x:c r="K10" s="24" t="n">
        <x:f>SUMIFS(Daily_Log!$R$4:$R$123,Daily_Log!$A$4:$A$123,"&gt;="&amp;B10,Daily_Log!$A$4:$A$123,"&lt;="&amp;C10)</x:f>
        <x:v>0</x:v>
      </x:c>
      <x:c r="L10" s="24" t="str">
        <x:f>IFERROR(SUMIFS(Daily_Log!$I$4:$I$123,Daily_Log!$A$4:$A$123,"&gt;="&amp;B10,Daily_Log!$A$4:$A$123,"&lt;="&amp;C10)/COUNTIFS(Daily_Log!$A$4:$A$123,"&gt;="&amp;B10,Daily_Log!$A$4:$A$123,"&lt;="&amp;C10,Daily_Log!$I$4:$I$123,"&gt;0"),"")</x:f>
      </x:c>
      <x:c r="M10" s="24" t="str">
        <x:f>IFERROR(SUMIFS(Daily_Log!$H$4:$H$123,Daily_Log!$A$4:$A$123,"&gt;="&amp;B10,Daily_Log!$A$4:$A$123,"&lt;="&amp;C10)/COUNTIFS(Daily_Log!$A$4:$A$123,"&gt;="&amp;B10,Daily_Log!$A$4:$A$123,"&lt;="&amp;C10,Daily_Log!$H$4:$H$123,"&gt;0"),"")</x:f>
      </x:c>
      <x:c r="N10" s="24" t="str">
        <x:f>IF(D10="","Недостаточно данных",IF(I10&lt;0.8,"Сначала исправить учёт",IF(OR(F10&lt;-0.0075,L10&gt;3,M10&gt;4),"+100–150 ккал / снизить нагрузку",IF(AND(F10&gt;-0.0015,OR(G10="",G10&gt;=G9)),"−100 ккал","Оставить"))))</x:f>
        <x:v>Недостаточно данных</x:v>
      </x:c>
    </x:row>
    <x:row r="11">
      <x:c r="A11" s="24" t="n">
        <x:v>8</x:v>
      </x:c>
      <x:c r="B11" s="50" t="n">
        <x:f>Profile!$B$15+(A11-1)*7</x:f>
        <x:v>46279</x:v>
      </x:c>
      <x:c r="C11" s="50" t="n">
        <x:f>B11+6</x:f>
        <x:v>46285</x:v>
      </x:c>
      <x:c r="D11" s="24" t="str">
        <x:f>IFERROR(SUMIFS(Daily_Log!$B$4:$B$123,Daily_Log!$A$4:$A$123,"&gt;="&amp;B11,Daily_Log!$A$4:$A$123,"&lt;="&amp;C11)/COUNTIFS(Daily_Log!$A$4:$A$123,"&gt;="&amp;B11,Daily_Log!$A$4:$A$123,"&lt;="&amp;C11,Daily_Log!$B$4:$B$123,"&gt;0"),"")</x:f>
      </x:c>
      <x:c r="E11" s="24" t="str">
        <x:f>IF(OR(D11="",D10=""),"",D11-D10)</x:f>
      </x:c>
      <x:c r="F11" s="64" t="str">
        <x:f>IF(OR(D11="",D10=""),"",E11/D10)</x:f>
      </x:c>
      <x:c r="G11" s="24" t="str">
        <x:f>IFERROR(SUMIFS(Daily_Log!$C$4:$C$123,Daily_Log!$A$4:$A$123,"&gt;="&amp;B11,Daily_Log!$A$4:$A$123,"&lt;="&amp;C11)/COUNTIFS(Daily_Log!$A$4:$A$123,"&gt;="&amp;B11,Daily_Log!$A$4:$A$123,"&lt;="&amp;C11,Daily_Log!$C$4:$C$123,"&gt;0"),"")</x:f>
      </x:c>
      <x:c r="H11" s="24" t="str">
        <x:f>IFERROR(SUMIFS(Daily_Log!$D$4:$D$123,Daily_Log!$A$4:$A$123,"&gt;="&amp;B11,Daily_Log!$A$4:$A$123,"&lt;="&amp;C11)/COUNTIFS(Daily_Log!$A$4:$A$123,"&gt;="&amp;B11,Daily_Log!$A$4:$A$123,"&lt;="&amp;C11,Daily_Log!$D$4:$D$123,"&gt;0"),"")</x:f>
      </x:c>
      <x:c r="I11" s="65" t="n">
        <x:f>IFERROR(SUMIFS(Daily_Log!$Q$4:$Q$123,Daily_Log!$A$4:$A$123,"&gt;="&amp;B11,Daily_Log!$A$4:$A$123,"&lt;="&amp;C11)/COUNTIFS(Daily_Log!$A$4:$A$123,"&gt;="&amp;B11,Daily_Log!$A$4:$A$123,"&lt;="&amp;C11,Daily_Log!$Q$4:$Q$123,"&lt;&gt;"),"")</x:f>
        <x:v>0</x:v>
      </x:c>
      <x:c r="J11" s="24" t="str">
        <x:f>IFERROR(SUMIFS(Daily_Log!$E$4:$E$123,Daily_Log!$A$4:$A$123,"&gt;="&amp;B11,Daily_Log!$A$4:$A$123,"&lt;="&amp;C11)/COUNTIFS(Daily_Log!$A$4:$A$123,"&gt;="&amp;B11,Daily_Log!$A$4:$A$123,"&lt;="&amp;C11,Daily_Log!$E$4:$E$123,"&gt;0"),"")</x:f>
      </x:c>
      <x:c r="K11" s="24" t="n">
        <x:f>SUMIFS(Daily_Log!$R$4:$R$123,Daily_Log!$A$4:$A$123,"&gt;="&amp;B11,Daily_Log!$A$4:$A$123,"&lt;="&amp;C11)</x:f>
        <x:v>0</x:v>
      </x:c>
      <x:c r="L11" s="24" t="str">
        <x:f>IFERROR(SUMIFS(Daily_Log!$I$4:$I$123,Daily_Log!$A$4:$A$123,"&gt;="&amp;B11,Daily_Log!$A$4:$A$123,"&lt;="&amp;C11)/COUNTIFS(Daily_Log!$A$4:$A$123,"&gt;="&amp;B11,Daily_Log!$A$4:$A$123,"&lt;="&amp;C11,Daily_Log!$I$4:$I$123,"&gt;0"),"")</x:f>
      </x:c>
      <x:c r="M11" s="24" t="str">
        <x:f>IFERROR(SUMIFS(Daily_Log!$H$4:$H$123,Daily_Log!$A$4:$A$123,"&gt;="&amp;B11,Daily_Log!$A$4:$A$123,"&lt;="&amp;C11)/COUNTIFS(Daily_Log!$A$4:$A$123,"&gt;="&amp;B11,Daily_Log!$A$4:$A$123,"&lt;="&amp;C11,Daily_Log!$H$4:$H$123,"&gt;0"),"")</x:f>
      </x:c>
      <x:c r="N11" s="24" t="str">
        <x:f>IF(D11="","Недостаточно данных",IF(I11&lt;0.8,"Сначала исправить учёт",IF(OR(F11&lt;-0.0075,L11&gt;3,M11&gt;4),"+100–150 ккал / снизить нагрузку",IF(AND(F11&gt;-0.0015,OR(G11="",G11&gt;=G10)),"−100 ккал","Оставить"))))</x:f>
        <x:v>Недостаточно данных</x:v>
      </x:c>
    </x:row>
    <x:row r="12">
      <x:c r="A12" s="24" t="n">
        <x:v>9</x:v>
      </x:c>
      <x:c r="B12" s="50" t="n">
        <x:f>Profile!$B$15+(A12-1)*7</x:f>
        <x:v>46286</x:v>
      </x:c>
      <x:c r="C12" s="50" t="n">
        <x:f>B12+6</x:f>
        <x:v>46292</x:v>
      </x:c>
      <x:c r="D12" s="24" t="str">
        <x:f>IFERROR(SUMIFS(Daily_Log!$B$4:$B$123,Daily_Log!$A$4:$A$123,"&gt;="&amp;B12,Daily_Log!$A$4:$A$123,"&lt;="&amp;C12)/COUNTIFS(Daily_Log!$A$4:$A$123,"&gt;="&amp;B12,Daily_Log!$A$4:$A$123,"&lt;="&amp;C12,Daily_Log!$B$4:$B$123,"&gt;0"),"")</x:f>
      </x:c>
      <x:c r="E12" s="24" t="str">
        <x:f>IF(OR(D12="",D11=""),"",D12-D11)</x:f>
      </x:c>
      <x:c r="F12" s="64" t="str">
        <x:f>IF(OR(D12="",D11=""),"",E12/D11)</x:f>
      </x:c>
      <x:c r="G12" s="24" t="str">
        <x:f>IFERROR(SUMIFS(Daily_Log!$C$4:$C$123,Daily_Log!$A$4:$A$123,"&gt;="&amp;B12,Daily_Log!$A$4:$A$123,"&lt;="&amp;C12)/COUNTIFS(Daily_Log!$A$4:$A$123,"&gt;="&amp;B12,Daily_Log!$A$4:$A$123,"&lt;="&amp;C12,Daily_Log!$C$4:$C$123,"&gt;0"),"")</x:f>
      </x:c>
      <x:c r="H12" s="24" t="str">
        <x:f>IFERROR(SUMIFS(Daily_Log!$D$4:$D$123,Daily_Log!$A$4:$A$123,"&gt;="&amp;B12,Daily_Log!$A$4:$A$123,"&lt;="&amp;C12)/COUNTIFS(Daily_Log!$A$4:$A$123,"&gt;="&amp;B12,Daily_Log!$A$4:$A$123,"&lt;="&amp;C12,Daily_Log!$D$4:$D$123,"&gt;0"),"")</x:f>
      </x:c>
      <x:c r="I12" s="65" t="n">
        <x:f>IFERROR(SUMIFS(Daily_Log!$Q$4:$Q$123,Daily_Log!$A$4:$A$123,"&gt;="&amp;B12,Daily_Log!$A$4:$A$123,"&lt;="&amp;C12)/COUNTIFS(Daily_Log!$A$4:$A$123,"&gt;="&amp;B12,Daily_Log!$A$4:$A$123,"&lt;="&amp;C12,Daily_Log!$Q$4:$Q$123,"&lt;&gt;"),"")</x:f>
        <x:v>0</x:v>
      </x:c>
      <x:c r="J12" s="24" t="str">
        <x:f>IFERROR(SUMIFS(Daily_Log!$E$4:$E$123,Daily_Log!$A$4:$A$123,"&gt;="&amp;B12,Daily_Log!$A$4:$A$123,"&lt;="&amp;C12)/COUNTIFS(Daily_Log!$A$4:$A$123,"&gt;="&amp;B12,Daily_Log!$A$4:$A$123,"&lt;="&amp;C12,Daily_Log!$E$4:$E$123,"&gt;0"),"")</x:f>
      </x:c>
      <x:c r="K12" s="24" t="n">
        <x:f>SUMIFS(Daily_Log!$R$4:$R$123,Daily_Log!$A$4:$A$123,"&gt;="&amp;B12,Daily_Log!$A$4:$A$123,"&lt;="&amp;C12)</x:f>
        <x:v>0</x:v>
      </x:c>
      <x:c r="L12" s="24" t="str">
        <x:f>IFERROR(SUMIFS(Daily_Log!$I$4:$I$123,Daily_Log!$A$4:$A$123,"&gt;="&amp;B12,Daily_Log!$A$4:$A$123,"&lt;="&amp;C12)/COUNTIFS(Daily_Log!$A$4:$A$123,"&gt;="&amp;B12,Daily_Log!$A$4:$A$123,"&lt;="&amp;C12,Daily_Log!$I$4:$I$123,"&gt;0"),"")</x:f>
      </x:c>
      <x:c r="M12" s="24" t="str">
        <x:f>IFERROR(SUMIFS(Daily_Log!$H$4:$H$123,Daily_Log!$A$4:$A$123,"&gt;="&amp;B12,Daily_Log!$A$4:$A$123,"&lt;="&amp;C12)/COUNTIFS(Daily_Log!$A$4:$A$123,"&gt;="&amp;B12,Daily_Log!$A$4:$A$123,"&lt;="&amp;C12,Daily_Log!$H$4:$H$123,"&gt;0"),"")</x:f>
      </x:c>
      <x:c r="N12" s="24" t="str">
        <x:f>IF(D12="","Недостаточно данных",IF(I12&lt;0.8,"Сначала исправить учёт",IF(OR(F12&lt;-0.0075,L12&gt;3,M12&gt;4),"+100–150 ккал / снизить нагрузку",IF(AND(F12&gt;-0.0015,OR(G12="",G12&gt;=G11)),"−100 ккал","Оставить"))))</x:f>
        <x:v>Недостаточно данных</x:v>
      </x:c>
    </x:row>
    <x:row r="13">
      <x:c r="A13" s="24" t="n">
        <x:v>10</x:v>
      </x:c>
      <x:c r="B13" s="50" t="n">
        <x:f>Profile!$B$15+(A13-1)*7</x:f>
        <x:v>46293</x:v>
      </x:c>
      <x:c r="C13" s="50" t="n">
        <x:f>B13+6</x:f>
        <x:v>46299</x:v>
      </x:c>
      <x:c r="D13" s="24" t="str">
        <x:f>IFERROR(SUMIFS(Daily_Log!$B$4:$B$123,Daily_Log!$A$4:$A$123,"&gt;="&amp;B13,Daily_Log!$A$4:$A$123,"&lt;="&amp;C13)/COUNTIFS(Daily_Log!$A$4:$A$123,"&gt;="&amp;B13,Daily_Log!$A$4:$A$123,"&lt;="&amp;C13,Daily_Log!$B$4:$B$123,"&gt;0"),"")</x:f>
      </x:c>
      <x:c r="E13" s="24" t="str">
        <x:f>IF(OR(D13="",D12=""),"",D13-D12)</x:f>
      </x:c>
      <x:c r="F13" s="64" t="str">
        <x:f>IF(OR(D13="",D12=""),"",E13/D12)</x:f>
      </x:c>
      <x:c r="G13" s="24" t="str">
        <x:f>IFERROR(SUMIFS(Daily_Log!$C$4:$C$123,Daily_Log!$A$4:$A$123,"&gt;="&amp;B13,Daily_Log!$A$4:$A$123,"&lt;="&amp;C13)/COUNTIFS(Daily_Log!$A$4:$A$123,"&gt;="&amp;B13,Daily_Log!$A$4:$A$123,"&lt;="&amp;C13,Daily_Log!$C$4:$C$123,"&gt;0"),"")</x:f>
      </x:c>
      <x:c r="H13" s="24" t="str">
        <x:f>IFERROR(SUMIFS(Daily_Log!$D$4:$D$123,Daily_Log!$A$4:$A$123,"&gt;="&amp;B13,Daily_Log!$A$4:$A$123,"&lt;="&amp;C13)/COUNTIFS(Daily_Log!$A$4:$A$123,"&gt;="&amp;B13,Daily_Log!$A$4:$A$123,"&lt;="&amp;C13,Daily_Log!$D$4:$D$123,"&gt;0"),"")</x:f>
      </x:c>
      <x:c r="I13" s="65" t="n">
        <x:f>IFERROR(SUMIFS(Daily_Log!$Q$4:$Q$123,Daily_Log!$A$4:$A$123,"&gt;="&amp;B13,Daily_Log!$A$4:$A$123,"&lt;="&amp;C13)/COUNTIFS(Daily_Log!$A$4:$A$123,"&gt;="&amp;B13,Daily_Log!$A$4:$A$123,"&lt;="&amp;C13,Daily_Log!$Q$4:$Q$123,"&lt;&gt;"),"")</x:f>
        <x:v>0</x:v>
      </x:c>
      <x:c r="J13" s="24" t="str">
        <x:f>IFERROR(SUMIFS(Daily_Log!$E$4:$E$123,Daily_Log!$A$4:$A$123,"&gt;="&amp;B13,Daily_Log!$A$4:$A$123,"&lt;="&amp;C13)/COUNTIFS(Daily_Log!$A$4:$A$123,"&gt;="&amp;B13,Daily_Log!$A$4:$A$123,"&lt;="&amp;C13,Daily_Log!$E$4:$E$123,"&gt;0"),"")</x:f>
      </x:c>
      <x:c r="K13" s="24" t="n">
        <x:f>SUMIFS(Daily_Log!$R$4:$R$123,Daily_Log!$A$4:$A$123,"&gt;="&amp;B13,Daily_Log!$A$4:$A$123,"&lt;="&amp;C13)</x:f>
        <x:v>0</x:v>
      </x:c>
      <x:c r="L13" s="24" t="str">
        <x:f>IFERROR(SUMIFS(Daily_Log!$I$4:$I$123,Daily_Log!$A$4:$A$123,"&gt;="&amp;B13,Daily_Log!$A$4:$A$123,"&lt;="&amp;C13)/COUNTIFS(Daily_Log!$A$4:$A$123,"&gt;="&amp;B13,Daily_Log!$A$4:$A$123,"&lt;="&amp;C13,Daily_Log!$I$4:$I$123,"&gt;0"),"")</x:f>
      </x:c>
      <x:c r="M13" s="24" t="str">
        <x:f>IFERROR(SUMIFS(Daily_Log!$H$4:$H$123,Daily_Log!$A$4:$A$123,"&gt;="&amp;B13,Daily_Log!$A$4:$A$123,"&lt;="&amp;C13)/COUNTIFS(Daily_Log!$A$4:$A$123,"&gt;="&amp;B13,Daily_Log!$A$4:$A$123,"&lt;="&amp;C13,Daily_Log!$H$4:$H$123,"&gt;0"),"")</x:f>
      </x:c>
      <x:c r="N13" s="24" t="str">
        <x:f>IF(D13="","Недостаточно данных",IF(I13&lt;0.8,"Сначала исправить учёт",IF(OR(F13&lt;-0.0075,L13&gt;3,M13&gt;4),"+100–150 ккал / снизить нагрузку",IF(AND(F13&gt;-0.0015,OR(G13="",G13&gt;=G12)),"−100 ккал","Оставить"))))</x:f>
        <x:v>Недостаточно данных</x:v>
      </x:c>
    </x:row>
    <x:row r="14">
      <x:c r="A14" s="24" t="n">
        <x:v>11</x:v>
      </x:c>
      <x:c r="B14" s="50" t="n">
        <x:f>Profile!$B$15+(A14-1)*7</x:f>
        <x:v>46300</x:v>
      </x:c>
      <x:c r="C14" s="50" t="n">
        <x:f>B14+6</x:f>
        <x:v>46306</x:v>
      </x:c>
      <x:c r="D14" s="24" t="str">
        <x:f>IFERROR(SUMIFS(Daily_Log!$B$4:$B$123,Daily_Log!$A$4:$A$123,"&gt;="&amp;B14,Daily_Log!$A$4:$A$123,"&lt;="&amp;C14)/COUNTIFS(Daily_Log!$A$4:$A$123,"&gt;="&amp;B14,Daily_Log!$A$4:$A$123,"&lt;="&amp;C14,Daily_Log!$B$4:$B$123,"&gt;0"),"")</x:f>
      </x:c>
      <x:c r="E14" s="24" t="str">
        <x:f>IF(OR(D14="",D13=""),"",D14-D13)</x:f>
      </x:c>
      <x:c r="F14" s="64" t="str">
        <x:f>IF(OR(D14="",D13=""),"",E14/D13)</x:f>
      </x:c>
      <x:c r="G14" s="24" t="str">
        <x:f>IFERROR(SUMIFS(Daily_Log!$C$4:$C$123,Daily_Log!$A$4:$A$123,"&gt;="&amp;B14,Daily_Log!$A$4:$A$123,"&lt;="&amp;C14)/COUNTIFS(Daily_Log!$A$4:$A$123,"&gt;="&amp;B14,Daily_Log!$A$4:$A$123,"&lt;="&amp;C14,Daily_Log!$C$4:$C$123,"&gt;0"),"")</x:f>
      </x:c>
      <x:c r="H14" s="24" t="str">
        <x:f>IFERROR(SUMIFS(Daily_Log!$D$4:$D$123,Daily_Log!$A$4:$A$123,"&gt;="&amp;B14,Daily_Log!$A$4:$A$123,"&lt;="&amp;C14)/COUNTIFS(Daily_Log!$A$4:$A$123,"&gt;="&amp;B14,Daily_Log!$A$4:$A$123,"&lt;="&amp;C14,Daily_Log!$D$4:$D$123,"&gt;0"),"")</x:f>
      </x:c>
      <x:c r="I14" s="65" t="n">
        <x:f>IFERROR(SUMIFS(Daily_Log!$Q$4:$Q$123,Daily_Log!$A$4:$A$123,"&gt;="&amp;B14,Daily_Log!$A$4:$A$123,"&lt;="&amp;C14)/COUNTIFS(Daily_Log!$A$4:$A$123,"&gt;="&amp;B14,Daily_Log!$A$4:$A$123,"&lt;="&amp;C14,Daily_Log!$Q$4:$Q$123,"&lt;&gt;"),"")</x:f>
        <x:v>0</x:v>
      </x:c>
      <x:c r="J14" s="24" t="str">
        <x:f>IFERROR(SUMIFS(Daily_Log!$E$4:$E$123,Daily_Log!$A$4:$A$123,"&gt;="&amp;B14,Daily_Log!$A$4:$A$123,"&lt;="&amp;C14)/COUNTIFS(Daily_Log!$A$4:$A$123,"&gt;="&amp;B14,Daily_Log!$A$4:$A$123,"&lt;="&amp;C14,Daily_Log!$E$4:$E$123,"&gt;0"),"")</x:f>
      </x:c>
      <x:c r="K14" s="24" t="n">
        <x:f>SUMIFS(Daily_Log!$R$4:$R$123,Daily_Log!$A$4:$A$123,"&gt;="&amp;B14,Daily_Log!$A$4:$A$123,"&lt;="&amp;C14)</x:f>
        <x:v>0</x:v>
      </x:c>
      <x:c r="L14" s="24" t="str">
        <x:f>IFERROR(SUMIFS(Daily_Log!$I$4:$I$123,Daily_Log!$A$4:$A$123,"&gt;="&amp;B14,Daily_Log!$A$4:$A$123,"&lt;="&amp;C14)/COUNTIFS(Daily_Log!$A$4:$A$123,"&gt;="&amp;B14,Daily_Log!$A$4:$A$123,"&lt;="&amp;C14,Daily_Log!$I$4:$I$123,"&gt;0"),"")</x:f>
      </x:c>
      <x:c r="M14" s="24" t="str">
        <x:f>IFERROR(SUMIFS(Daily_Log!$H$4:$H$123,Daily_Log!$A$4:$A$123,"&gt;="&amp;B14,Daily_Log!$A$4:$A$123,"&lt;="&amp;C14)/COUNTIFS(Daily_Log!$A$4:$A$123,"&gt;="&amp;B14,Daily_Log!$A$4:$A$123,"&lt;="&amp;C14,Daily_Log!$H$4:$H$123,"&gt;0"),"")</x:f>
      </x:c>
      <x:c r="N14" s="24" t="str">
        <x:f>IF(D14="","Недостаточно данных",IF(I14&lt;0.8,"Сначала исправить учёт",IF(OR(F14&lt;-0.0075,L14&gt;3,M14&gt;4),"+100–150 ккал / снизить нагрузку",IF(AND(F14&gt;-0.0015,OR(G14="",G14&gt;=G13)),"−100 ккал","Оставить"))))</x:f>
        <x:v>Недостаточно данных</x:v>
      </x:c>
    </x:row>
    <x:row r="15">
      <x:c r="A15" s="24" t="n">
        <x:v>12</x:v>
      </x:c>
      <x:c r="B15" s="50" t="n">
        <x:f>Profile!$B$15+(A15-1)*7</x:f>
        <x:v>46307</x:v>
      </x:c>
      <x:c r="C15" s="50" t="n">
        <x:f>B15+6</x:f>
        <x:v>46313</x:v>
      </x:c>
      <x:c r="D15" s="24" t="str">
        <x:f>IFERROR(SUMIFS(Daily_Log!$B$4:$B$123,Daily_Log!$A$4:$A$123,"&gt;="&amp;B15,Daily_Log!$A$4:$A$123,"&lt;="&amp;C15)/COUNTIFS(Daily_Log!$A$4:$A$123,"&gt;="&amp;B15,Daily_Log!$A$4:$A$123,"&lt;="&amp;C15,Daily_Log!$B$4:$B$123,"&gt;0"),"")</x:f>
      </x:c>
      <x:c r="E15" s="24" t="str">
        <x:f>IF(OR(D15="",D14=""),"",D15-D14)</x:f>
      </x:c>
      <x:c r="F15" s="64" t="str">
        <x:f>IF(OR(D15="",D14=""),"",E15/D14)</x:f>
      </x:c>
      <x:c r="G15" s="24" t="str">
        <x:f>IFERROR(SUMIFS(Daily_Log!$C$4:$C$123,Daily_Log!$A$4:$A$123,"&gt;="&amp;B15,Daily_Log!$A$4:$A$123,"&lt;="&amp;C15)/COUNTIFS(Daily_Log!$A$4:$A$123,"&gt;="&amp;B15,Daily_Log!$A$4:$A$123,"&lt;="&amp;C15,Daily_Log!$C$4:$C$123,"&gt;0"),"")</x:f>
      </x:c>
      <x:c r="H15" s="24" t="str">
        <x:f>IFERROR(SUMIFS(Daily_Log!$D$4:$D$123,Daily_Log!$A$4:$A$123,"&gt;="&amp;B15,Daily_Log!$A$4:$A$123,"&lt;="&amp;C15)/COUNTIFS(Daily_Log!$A$4:$A$123,"&gt;="&amp;B15,Daily_Log!$A$4:$A$123,"&lt;="&amp;C15,Daily_Log!$D$4:$D$123,"&gt;0"),"")</x:f>
      </x:c>
      <x:c r="I15" s="65" t="n">
        <x:f>IFERROR(SUMIFS(Daily_Log!$Q$4:$Q$123,Daily_Log!$A$4:$A$123,"&gt;="&amp;B15,Daily_Log!$A$4:$A$123,"&lt;="&amp;C15)/COUNTIFS(Daily_Log!$A$4:$A$123,"&gt;="&amp;B15,Daily_Log!$A$4:$A$123,"&lt;="&amp;C15,Daily_Log!$Q$4:$Q$123,"&lt;&gt;"),"")</x:f>
        <x:v>0</x:v>
      </x:c>
      <x:c r="J15" s="24" t="str">
        <x:f>IFERROR(SUMIFS(Daily_Log!$E$4:$E$123,Daily_Log!$A$4:$A$123,"&gt;="&amp;B15,Daily_Log!$A$4:$A$123,"&lt;="&amp;C15)/COUNTIFS(Daily_Log!$A$4:$A$123,"&gt;="&amp;B15,Daily_Log!$A$4:$A$123,"&lt;="&amp;C15,Daily_Log!$E$4:$E$123,"&gt;0"),"")</x:f>
      </x:c>
      <x:c r="K15" s="24" t="n">
        <x:f>SUMIFS(Daily_Log!$R$4:$R$123,Daily_Log!$A$4:$A$123,"&gt;="&amp;B15,Daily_Log!$A$4:$A$123,"&lt;="&amp;C15)</x:f>
        <x:v>0</x:v>
      </x:c>
      <x:c r="L15" s="24" t="str">
        <x:f>IFERROR(SUMIFS(Daily_Log!$I$4:$I$123,Daily_Log!$A$4:$A$123,"&gt;="&amp;B15,Daily_Log!$A$4:$A$123,"&lt;="&amp;C15)/COUNTIFS(Daily_Log!$A$4:$A$123,"&gt;="&amp;B15,Daily_Log!$A$4:$A$123,"&lt;="&amp;C15,Daily_Log!$I$4:$I$123,"&gt;0"),"")</x:f>
      </x:c>
      <x:c r="M15" s="24" t="str">
        <x:f>IFERROR(SUMIFS(Daily_Log!$H$4:$H$123,Daily_Log!$A$4:$A$123,"&gt;="&amp;B15,Daily_Log!$A$4:$A$123,"&lt;="&amp;C15)/COUNTIFS(Daily_Log!$A$4:$A$123,"&gt;="&amp;B15,Daily_Log!$A$4:$A$123,"&lt;="&amp;C15,Daily_Log!$H$4:$H$123,"&gt;0"),"")</x:f>
      </x:c>
      <x:c r="N15" s="24" t="str">
        <x:f>IF(D15="","Недостаточно данных",IF(I15&lt;0.8,"Сначала исправить учёт",IF(OR(F15&lt;-0.0075,L15&gt;3,M15&gt;4),"+100–150 ккал / снизить нагрузку",IF(AND(F15&gt;-0.0015,OR(G15="",G15&gt;=G14)),"−100 ккал","Оставить"))))</x:f>
        <x:v>Недостаточно данных</x:v>
      </x:c>
    </x:row>
  </x:sheetData>
  <x:mergeCells>
    <x:mergeCell ref="A1:N1"/>
  </x:mergeCells>
  <x:conditionalFormatting sqref="N4:N15">
    <x:cfRule type="expression" dxfId="1" priority="1">
      <x:formula>ISNUMBER(SEARCH("Оставить",N4))</x:formula>
    </x:cfRule>
    <x:cfRule type="expression" dxfId="2" priority="2">
      <x:formula>OR(ISNUMBER(SEARCH("−100",N4)),ISNUMBER(SEARCH("+100",N4)))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5" hidden="0" customWidth="1"/>
  </x:cols>
  <x:sheetData>
    <x:row r="1" ht="32" customHeight="1">
      <x:c r="A1" s="4" t="str">
        <x:v>12-недельная программа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Неделя</x:v>
      </x:c>
      <x:c r="B3" s="18" t="str">
        <x:v>Фаза</x:v>
      </x:c>
      <x:c r="C3" s="18" t="str">
        <x:v>Основные подходы</x:v>
      </x:c>
      <x:c r="D3" s="18" t="str">
        <x:v>RIR</x:v>
      </x:c>
      <x:c r="E3" s="18" t="str">
        <x:v>Объём factor</x:v>
      </x:c>
      <x:c r="F3" s="18" t="str">
        <x:v>Комментарий</x:v>
      </x:c>
    </x:row>
    <x:row r="4">
      <x:c r="A4" t="n">
        <x:v>1</x:v>
      </x:c>
      <x:c r="B4" t="str">
        <x:v>re-entry</x:v>
      </x:c>
      <x:c r="C4" t="n">
        <x:v>2</x:v>
      </x:c>
      <x:c r="D4" t="n">
        <x:v>3</x:v>
      </x:c>
      <x:c r="E4" s="68" t="n">
        <x:v>0.7</x:v>
      </x:c>
      <x:c r="F4" s="24" t="str">
        <x:v>Калибровка техники, симптомов, повторов и рабочего темпа.</x:v>
      </x:c>
    </x:row>
    <x:row r="5">
      <x:c r="A5" t="n">
        <x:v>2</x:v>
      </x:c>
      <x:c r="B5" t="str">
        <x:v>re-entry</x:v>
      </x:c>
      <x:c r="C5" t="n">
        <x:v>2</x:v>
      </x:c>
      <x:c r="D5" t="n">
        <x:v>3</x:v>
      </x:c>
      <x:c r="E5" s="68" t="n">
        <x:v>0.8</x:v>
      </x:c>
      <x:c r="F5" s="24" t="str">
        <x:v>Добавить повторы, не вес любой ценой.</x:v>
      </x:c>
    </x:row>
    <x:row r="6">
      <x:c r="A6" t="n">
        <x:v>3</x:v>
      </x:c>
      <x:c r="B6" t="str">
        <x:v>build-1</x:v>
      </x:c>
      <x:c r="C6" t="n">
        <x:v>3</x:v>
      </x:c>
      <x:c r="D6" t="n">
        <x:v>2</x:v>
      </x:c>
      <x:c r="E6" s="68" t="n">
        <x:v>0.9</x:v>
      </x:c>
      <x:c r="F6" s="24" t="str">
        <x:v>Большинство основных упражнений по 3 подхода.</x:v>
      </x:c>
    </x:row>
    <x:row r="7">
      <x:c r="A7" t="n">
        <x:v>4</x:v>
      </x:c>
      <x:c r="B7" t="str">
        <x:v>build-1</x:v>
      </x:c>
      <x:c r="C7" t="n">
        <x:v>3</x:v>
      </x:c>
      <x:c r="D7" t="n">
        <x:v>2</x:v>
      </x:c>
      <x:c r="E7" s="68" t="n">
        <x:v>1</x:v>
      </x:c>
      <x:c r="F7" s="24" t="str">
        <x:v>Двойная прогрессия в рамках диапазона повторов.</x:v>
      </x:c>
    </x:row>
    <x:row r="8">
      <x:c r="A8" t="n">
        <x:v>5</x:v>
      </x:c>
      <x:c r="B8" t="str">
        <x:v>build-1</x:v>
      </x:c>
      <x:c r="C8" t="n">
        <x:v>3</x:v>
      </x:c>
      <x:c r="D8" t="n">
        <x:v>1</x:v>
      </x:c>
      <x:c r="E8" s="68" t="n">
        <x:v>1.05</x:v>
      </x:c>
      <x:c r="F8" s="24" t="str">
        <x:v>Последний подход изолированных/стабильных движений может быть 1 RIR.</x:v>
      </x:c>
    </x:row>
    <x:row r="9">
      <x:c r="A9" t="n">
        <x:v>6</x:v>
      </x:c>
      <x:c r="B9" t="str">
        <x:v>deload</x:v>
      </x:c>
      <x:c r="C9" t="n">
        <x:v>2</x:v>
      </x:c>
      <x:c r="D9" t="n">
        <x:v>4</x:v>
      </x:c>
      <x:c r="E9" s="68" t="n">
        <x:v>0.55</x:v>
      </x:c>
      <x:c r="F9" s="24" t="str">
        <x:v>Сократить подходы на 40–50%, сохранить движения и прогулки.</x:v>
      </x:c>
    </x:row>
    <x:row r="10">
      <x:c r="A10" t="n">
        <x:v>7</x:v>
      </x:c>
      <x:c r="B10" t="str">
        <x:v>build-2</x:v>
      </x:c>
      <x:c r="C10" t="n">
        <x:v>3</x:v>
      </x:c>
      <x:c r="D10" t="n">
        <x:v>2</x:v>
      </x:c>
      <x:c r="E10" s="68" t="n">
        <x:v>0.95</x:v>
      </x:c>
      <x:c r="F10" s="24" t="str">
        <x:v>Вернуться чуть ниже недели 5.</x:v>
      </x:c>
    </x:row>
    <x:row r="11">
      <x:c r="A11" t="n">
        <x:v>8</x:v>
      </x:c>
      <x:c r="B11" t="str">
        <x:v>build-2</x:v>
      </x:c>
      <x:c r="C11" t="n">
        <x:v>3</x:v>
      </x:c>
      <x:c r="D11" t="n">
        <x:v>2</x:v>
      </x:c>
      <x:c r="E11" s="68" t="n">
        <x:v>1</x:v>
      </x:c>
      <x:c r="F11" s="24" t="str">
        <x:v>Усложнить рычаг или темп там, где 10 кг уже лёгкие.</x:v>
      </x:c>
    </x:row>
    <x:row r="12">
      <x:c r="A12" t="n">
        <x:v>9</x:v>
      </x:c>
      <x:c r="B12" t="str">
        <x:v>build-2</x:v>
      </x:c>
      <x:c r="C12" t="n">
        <x:v>3</x:v>
      </x:c>
      <x:c r="D12" t="n">
        <x:v>1</x:v>
      </x:c>
      <x:c r="E12" s="68" t="n">
        <x:v>1.05</x:v>
      </x:c>
      <x:c r="F12" s="24" t="str">
        <x:v>Добавить 1 подход только отстающим паттернам при нормальном восстановлении.</x:v>
      </x:c>
    </x:row>
    <x:row r="13">
      <x:c r="A13" t="n">
        <x:v>10</x:v>
      </x:c>
      <x:c r="B13" t="str">
        <x:v>build-2</x:v>
      </x:c>
      <x:c r="C13" t="n">
        <x:v>3</x:v>
      </x:c>
      <x:c r="D13" t="n">
        <x:v>1</x:v>
      </x:c>
      <x:c r="E13" s="68" t="n">
        <x:v>1.1</x:v>
      </x:c>
      <x:c r="F13" s="24" t="str">
        <x:v>Пиковый рабочий объём; без отказа в балансных и осевых движениях.</x:v>
      </x:c>
    </x:row>
    <x:row r="14">
      <x:c r="A14" t="n">
        <x:v>11</x:v>
      </x:c>
      <x:c r="B14" t="str">
        <x:v>benchmark</x:v>
      </x:c>
      <x:c r="C14" t="n">
        <x:v>3</x:v>
      </x:c>
      <x:c r="D14" t="n">
        <x:v>1</x:v>
      </x:c>
      <x:c r="E14" s="68" t="n">
        <x:v>1</x:v>
      </x:c>
      <x:c r="F14" s="24" t="str">
        <x:v>AMRAP с 1 RIR только в безопасных упражнениях: отжимания, тяга с опорой, мост.</x:v>
      </x:c>
    </x:row>
    <x:row r="15">
      <x:c r="A15" t="n">
        <x:v>12</x:v>
      </x:c>
      <x:c r="B15" t="str">
        <x:v>deload-retest</x:v>
      </x:c>
      <x:c r="C15" t="n">
        <x:v>2</x:v>
      </x:c>
      <x:c r="D15" t="n">
        <x:v>4</x:v>
      </x:c>
      <x:c r="E15" s="68" t="n">
        <x:v>0.55</x:v>
      </x:c>
      <x:c r="F15" s="24" t="str">
        <x:v>Снизить нагрузку, снять мерки, сравнить 7-дневные средние и технику.</x:v>
      </x:c>
    </x:row>
    <x:row r="18">
      <x:c r="A18" s="18" t="str">
        <x:v>День</x:v>
      </x:c>
      <x:c r="B18" s="18" t="str">
        <x:v>Сессия</x:v>
      </x:c>
      <x:c r="C18" s="18" t="str">
        <x:v>Длительность</x:v>
      </x:c>
      <x:c r="D18" s="18" t="str">
        <x:v>Упражнение 1</x:v>
      </x:c>
      <x:c r="E18" s="18" t="str">
        <x:v>Упражнение 2</x:v>
      </x:c>
      <x:c r="F18" s="18" t="str">
        <x:v>Упражнение 3</x:v>
      </x:c>
      <x:c r="G18" s="18" t="str">
        <x:v>Упражнение 4</x:v>
      </x:c>
      <x:c r="H18" s="18" t="str">
        <x:v>Упражнение 5</x:v>
      </x:c>
      <x:c r="I18" s="18" t="str">
        <x:v>Упражнение 6+</x:v>
      </x:c>
      <x:c r="J18" s="18" t="str">
        <x:v>Правило</x:v>
      </x:c>
    </x:row>
    <x:row r="19">
      <x:c r="A19" s="24" t="str">
        <x:v>Monday</x:v>
      </x:c>
      <x:c r="B19" s="24" t="str">
        <x:v>Full Body A — базовая сила и контроль</x:v>
      </x:c>
      <x:c r="C19" s="24" t="n">
        <x:v>55</x:v>
      </x:c>
      <x:c r="D19" s="24" t="str">
        <x:v>Спокойное дыхание 5–6/мин</x:v>
      </x:c>
      <x:c r="E19" s="24" t="str">
        <x:v>Осевое вытяжение у стены</x:v>
      </x:c>
      <x:c r="F19" s="24" t="str">
        <x:v>Рок-бэк на четвереньках</x:v>
      </x:c>
      <x:c r="G19" s="24" t="str">
        <x:v>Сплит-присед / передняя нога на возвышении</x:v>
      </x:c>
      <x:c r="H19" s="24" t="str">
        <x:v>Отжимания: выбранная прогрессия</x:v>
      </x:c>
      <x:c r="I19" s="24" t="str">
        <x:v>Тяга гантели одной рукой с опорой; Одноногая тяга с опорой; Dead bug; Y–T–W лёжа</x:v>
      </x:c>
      <x:c r="J19" s="24" t="str">
        <x:v>В односторонних упражнениях объём одинаковый. Сначала техника и переносимость, затем близость к отказу.</x:v>
      </x:c>
    </x:row>
    <x:row r="20">
      <x:c r="A20" s="24" t="str">
        <x:v>Thursday</x:v>
      </x:c>
      <x:c r="B20" s="24" t="str">
        <x:v>Full Body B — присед, жим, задняя цепь</x:v>
      </x:c>
      <x:c r="C20" s="24" t="n">
        <x:v>55</x:v>
      </x:c>
      <x:c r="D20" s="24" t="str">
        <x:v>Спокойное дыхание 5–6/мин</x:v>
      </x:c>
      <x:c r="E20" s="24" t="str">
        <x:v>Скольжение руками по стене</x:v>
      </x:c>
      <x:c r="F20" s="24" t="str">
        <x:v>Рок-бэк на четвереньках</x:v>
      </x:c>
      <x:c r="G20" s="24" t="str">
        <x:v>Гоблет-присед с темпом</x:v>
      </x:c>
      <x:c r="H20" s="24" t="str">
        <x:v>Жим гантелей лёжа на полу</x:v>
      </x:c>
      <x:c r="I20" s="24" t="str">
        <x:v>Тяга гантели одной рукой с опорой; Обратный выпад; Ягодичный мост / хамстринг-выходы; Suitcase hold/march — обе стороны поровну</x:v>
      </x:c>
      <x:c r="J20" s="24" t="str">
        <x:v>Suitcase hold выполняется поровну с обеих сторон. Не использовать как одностороннюю коррекцию.</x:v>
      </x:c>
    </x:row>
    <x:row r="21">
      <x:c r="A21" s="24" t="str">
        <x:v>Saturday</x:v>
      </x:c>
      <x:c r="B21" s="24" t="str">
        <x:v>Full Body C — односторонняя работа и объём</x:v>
      </x:c>
      <x:c r="C21" s="24" t="n">
        <x:v>58</x:v>
      </x:c>
      <x:c r="D21" s="24" t="str">
        <x:v>Спокойное дыхание 5–6/мин</x:v>
      </x:c>
      <x:c r="E21" s="24" t="str">
        <x:v>Осевое вытяжение у стены</x:v>
      </x:c>
      <x:c r="F21" s="24" t="str">
        <x:v>Скольжение руками по стене</x:v>
      </x:c>
      <x:c r="G21" s="24" t="str">
        <x:v>Болгарский сплит-присед</x:v>
      </x:c>
      <x:c r="H21" s="24" t="str">
        <x:v>Отжимания: выбранная прогрессия</x:v>
      </x:c>
      <x:c r="I21" s="24" t="str">
        <x:v>Тяга гантели одной рукой с опорой; B-stance румынская тяга; Пайк-отжимание (опционально); Боковая планка — обе стороны поровну; Разведение гантелей в наклоне с опорой</x:v>
      </x:c>
      <x:c r="J21" s="24" t="str">
        <x:v>Пайк-отжимание опционально: заменить жимом на полу при дискомфорте, рёберном выпячивании или поясничной компрессии.</x:v>
      </x:c>
    </x:row>
    <x:row r="22">
      <x:c r="A22" s="24" t="str">
        <x:v>Tuesday</x:v>
      </x:c>
      <x:c r="B22" s="24" t="str">
        <x:v>Сколиоз/моторный контроль A — нейтральная база</x:v>
      </x:c>
      <x:c r="C22" s="24" t="n">
        <x:v>45</x:v>
      </x:c>
      <x:c r="D22" s="24" t="str">
        <x:v>Спокойное дыхание 5–6/мин</x:v>
      </x:c>
      <x:c r="E22" s="24" t="str">
        <x:v>Осевое вытяжение у стены</x:v>
      </x:c>
      <x:c r="F22" s="24" t="str">
        <x:v>Рок-бэк на четвереньках</x:v>
      </x:c>
      <x:c r="G22" s="24" t="str">
        <x:v>Dead bug</x:v>
      </x:c>
      <x:c r="H22" s="24" t="str">
        <x:v>Bird dog</x:v>
      </x:c>
      <x:c r="I22" s="24" t="str">
        <x:v>Боковая планка — обе стороны поровну; Изометрия отведения бедра у стены; Быстрая ходьба</x:v>
      </x:c>
      <x:c r="J22" s="24" t="str">
        <x:v>Это не curve-specific PSSE. Добавить отдельный блок активной 3D-самокоррекции только после очного обучения.</x:v>
      </x:c>
    </x:row>
    <x:row r="23">
      <x:c r="A23" s="24" t="str">
        <x:v>Friday</x:v>
      </x:c>
      <x:c r="B23" s="24" t="str">
        <x:v>Сколиоз/моторный контроль B — интеграция и расслабление</x:v>
      </x:c>
      <x:c r="C23" s="24" t="n">
        <x:v>50</x:v>
      </x:c>
      <x:c r="D23" s="24" t="str">
        <x:v>Спокойное дыхание 5–6/мин</x:v>
      </x:c>
      <x:c r="E23" s="24" t="str">
        <x:v>Осевое вытяжение у стены</x:v>
      </x:c>
      <x:c r="F23" s="24" t="str">
        <x:v>Скольжение руками по стене</x:v>
      </x:c>
      <x:c r="G23" s="24" t="str">
        <x:v>Suitcase hold/march — обе стороны поровну</x:v>
      </x:c>
      <x:c r="H23" s="24" t="str">
        <x:v>Bird dog</x:v>
      </x:c>
      <x:c r="I23" s="24" t="str">
        <x:v>Мягкий йога-флоу</x:v>
      </x:c>
      <x:c r="J23" s="24" t="str">
        <x:v>Цель — перенос контроля в стояние, ходьбу и работу. Не удерживать «идеальную осанку» силой весь день.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45" hidden="0" customWidth="1"/>
    <x:col min="9" max="9" width="45" hidden="0" customWidth="1"/>
    <x:col min="10" max="10" width="45" hidden="0" customWidth="1"/>
    <x:col min="11" max="11" width="55" hidden="0" customWidth="1"/>
  </x:cols>
  <x:sheetData>
    <x:row r="1" ht="32" customHeight="1">
      <x:c r="A1" s="4" t="str">
        <x:v>Библиотека упражнений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8" t="str">
        <x:v>ID</x:v>
      </x:c>
      <x:c r="B3" s="18" t="str">
        <x:v>Упражнение</x:v>
      </x:c>
      <x:c r="C3" s="18" t="str">
        <x:v>Категория</x:v>
      </x:c>
      <x:c r="D3" s="18" t="str">
        <x:v>Инвентарь</x:v>
      </x:c>
      <x:c r="E3" s="18" t="str">
        <x:v>Подходы</x:v>
      </x:c>
      <x:c r="F3" s="18" t="str">
        <x:v>Схема</x:v>
      </x:c>
      <x:c r="G3" s="18" t="str">
        <x:v>RIR</x:v>
      </x:c>
      <x:c r="H3" s="18" t="str">
        <x:v>Инструкция</x:v>
      </x:c>
      <x:c r="I3" s="18" t="str">
        <x:v>Прогрессия</x:v>
      </x:c>
      <x:c r="J3" s="18" t="str">
        <x:v>Регрессия</x:v>
      </x:c>
      <x:c r="K3" s="18" t="str">
        <x:v>Scoliosis rule / evidence IDs</x:v>
      </x:c>
    </x:row>
    <x:row r="4">
      <x:c r="A4" s="24" t="str">
        <x:v>warm_breathing</x:v>
      </x:c>
      <x:c r="B4" s="24" t="str">
        <x:v>Спокойное дыхание 5–6/мин</x:v>
      </x:c>
      <x:c r="C4" s="24" t="str">
        <x:v>warmup</x:v>
      </x:c>
      <x:c r="D4" s="24" t="str">
        <x:v>none</x:v>
      </x:c>
      <x:c r="E4" s="24" t="n">
        <x:v>1</x:v>
      </x:c>
      <x:c r="F4" s="24" t="str">
        <x:v>3–5 мин</x:v>
      </x:c>
      <x:c r="G4" s="24"/>
      <x:c r="H4" s="24" t="str">
        <x:v>Лёжа или сидя, без максимального вдоха. Вдох примерно 4–5 с, выдох 5–6 с. Прекратить при головокружении.</x:v>
      </x:c>
      <x:c r="I4" s="24" t="str">
        <x:v>Увеличивать регулярность, не глубину вдоха.</x:v>
      </x:c>
      <x:c r="J4" s="24" t="str">
        <x:v>Обычное спокойное дыхание без счёта.</x:v>
      </x:c>
      <x:c r="K4" s="24" t="str">
        <x:v>Не является направленным ротационным дыханием Schroth. | SLOW-BREATHING-2022, DIAPHRAGMATIC-BREATHING-2019</x:v>
      </x:c>
    </x:row>
    <x:row r="5">
      <x:c r="A5" s="24" t="str">
        <x:v>wall_axial_elongation</x:v>
      </x:c>
      <x:c r="B5" s="24" t="str">
        <x:v>Осевое вытяжение у стены</x:v>
      </x:c>
      <x:c r="C5" s="24" t="str">
        <x:v>motor_control</x:v>
      </x:c>
      <x:c r="D5" s="24" t="str">
        <x:v>wall</x:v>
      </x:c>
      <x:c r="E5" s="24" t="n">
        <x:v>5</x:v>
      </x:c>
      <x:c r="F5" s="24" t="str">
        <x:v>3–5 дыханий</x:v>
      </x:c>
      <x:c r="G5" s="24"/>
      <x:c r="H5" s="24" t="str">
        <x:v>Мягко удлинить макушку вверх, рёбра над тазом, без запрокидывания и силового выпрямления дуги.</x:v>
      </x:c>
      <x:c r="I5" s="24" t="str">
        <x:v>Перенести ощущение в сидение и ходьбу.</x:v>
      </x:c>
      <x:c r="J5" s="24" t="str">
        <x:v>Лёжа на спине.</x:v>
      </x:c>
      <x:c r="K5" s="24" t="str">
        <x:v>Только нейтральная симметричная версия; 3D-коррекция — после обучения у специалиста. | MONTICONE-ADULT-SCOLIOSIS-2016, SOSORT-GUIDELINES-2016</x:v>
      </x:c>
    </x:row>
    <x:row r="6">
      <x:c r="A6" s="24" t="str">
        <x:v>quadruped_rockback</x:v>
      </x:c>
      <x:c r="B6" s="24" t="str">
        <x:v>Рок-бэк на четвереньках</x:v>
      </x:c>
      <x:c r="C6" s="24" t="str">
        <x:v>mobility_control</x:v>
      </x:c>
      <x:c r="D6" s="24" t="str">
        <x:v>mat</x:v>
      </x:c>
      <x:c r="E6" s="24" t="n">
        <x:v>2</x:v>
      </x:c>
      <x:c r="F6" s="24" t="str">
        <x:v>8–12</x:v>
      </x:c>
      <x:c r="G6" s="24" t="n">
        <x:v>3</x:v>
      </x:c>
      <x:c r="H6" s="24" t="str">
        <x:v>Сохранять комфортное положение корпуса, таз вести назад без боли и перекоса.</x:v>
      </x:c>
      <x:c r="I6" s="24" t="str">
        <x:v>Пауза 2 с в конечной комфортной точке.</x:v>
      </x:c>
      <x:c r="J6" s="24" t="str">
        <x:v>Меньшая амплитуда.</x:v>
      </x:c>
      <x:c r="K6" s="24" t="str">
        <x:v>Не добиваться визуальной симметрии силой. | MONTICONE-ADULT-SCOLIOSIS-2016</x:v>
      </x:c>
    </x:row>
    <x:row r="7">
      <x:c r="A7" s="24" t="str">
        <x:v>split_squat</x:v>
      </x:c>
      <x:c r="B7" s="24" t="str">
        <x:v>Сплит-присед / передняя нога на возвышении</x:v>
      </x:c>
      <x:c r="C7" s="24" t="str">
        <x:v>knee_dominant</x:v>
      </x:c>
      <x:c r="D7" s="24" t="str">
        <x:v>dumbbells, yoga block</x:v>
      </x:c>
      <x:c r="E7" s="24" t="n">
        <x:v>3</x:v>
      </x:c>
      <x:c r="F7" s="24" t="str">
        <x:v>8–15/сторона</x:v>
      </x:c>
      <x:c r="G7" s="24" t="n">
        <x:v>2</x:v>
      </x:c>
      <x:c r="H7" s="24" t="str">
        <x:v>Одинаковый объём на обе стороны. Корпус контролируемый, стопа полностью опирается, диапазон без боли.</x:v>
      </x:c>
      <x:c r="I7" s="24" t="str">
        <x:v>Повторы → вес → пауза внизу → болгарский вариант.</x:v>
      </x:c>
      <x:c r="J7" s="24" t="str">
        <x:v>Опора рукой, меньшая глубина, без веса.</x:v>
      </x:c>
      <x:c r="K7" s="24" t="str">
        <x:v>Не назначать больше работы «слабой» стороне без оценки. | ACSM-RT-2026, LOPEZ-LOAD-2021</x:v>
      </x:c>
    </x:row>
    <x:row r="8">
      <x:c r="A8" s="24" t="str">
        <x:v>goblet_squat</x:v>
      </x:c>
      <x:c r="B8" s="24" t="str">
        <x:v>Гоблет-присед с темпом</x:v>
      </x:c>
      <x:c r="C8" s="24" t="str">
        <x:v>knee_dominant</x:v>
      </x:c>
      <x:c r="D8" s="24" t="str">
        <x:v>dumbbell</x:v>
      </x:c>
      <x:c r="E8" s="24" t="n">
        <x:v>3</x:v>
      </x:c>
      <x:c r="F8" s="24" t="str">
        <x:v>10–20</x:v>
      </x:c>
      <x:c r="G8" s="24" t="n">
        <x:v>2</x:v>
      </x:c>
      <x:c r="H8" s="24" t="str">
        <x:v>Темп 3-1-1, комфортная глубина, без задержки дыхания и скручивания.</x:v>
      </x:c>
      <x:c r="I8" s="24" t="str">
        <x:v>Повторы → пауза → 1.5-повтора → вес.</x:v>
      </x:c>
      <x:c r="J8" s="24" t="str">
        <x:v>Присед к стулу.</x:v>
      </x:c>
      <x:c r="K8" s="24" t="str">
        <x:v>Симметричная нагрузка, но не требовать идеальной визуальной симметрии. | ACSM-RT-2026, LOPEZ-LOAD-2021</x:v>
      </x:c>
    </x:row>
    <x:row r="9">
      <x:c r="A9" s="24" t="str">
        <x:v>bulgarian_split_squat</x:v>
      </x:c>
      <x:c r="B9" s="24" t="str">
        <x:v>Болгарский сплит-присед</x:v>
      </x:c>
      <x:c r="C9" s="24" t="str">
        <x:v>knee_dominant</x:v>
      </x:c>
      <x:c r="D9" s="24" t="str">
        <x:v>dumbbells, chair</x:v>
      </x:c>
      <x:c r="E9" s="24" t="n">
        <x:v>3</x:v>
      </x:c>
      <x:c r="F9" s="24" t="str">
        <x:v>8–15/сторона</x:v>
      </x:c>
      <x:c r="G9" s="24" t="n">
        <x:v>2</x:v>
      </x:c>
      <x:c r="H9" s="24" t="str">
        <x:v>Низкая опора сзади, одинаковый объём, прекратить если баланс вызывает скручивание или боль.</x:v>
      </x:c>
      <x:c r="I9" s="24" t="str">
        <x:v>Повторы → вес → пауза.</x:v>
      </x:c>
      <x:c r="J9" s="24" t="str">
        <x:v>Обычный сплит-присед.</x:v>
      </x:c>
      <x:c r="K9" s="24" t="str">
        <x:v>Баланс важнее глубины. | ACSM-RT-2026, LOPEZ-LOAD-2021</x:v>
      </x:c>
    </x:row>
    <x:row r="10">
      <x:c r="A10" s="24" t="str">
        <x:v>reverse_lunge</x:v>
      </x:c>
      <x:c r="B10" s="24" t="str">
        <x:v>Обратный выпад</x:v>
      </x:c>
      <x:c r="C10" s="24" t="str">
        <x:v>knee_dominant</x:v>
      </x:c>
      <x:c r="D10" s="24" t="str">
        <x:v>dumbbells</x:v>
      </x:c>
      <x:c r="E10" s="24" t="n">
        <x:v>3</x:v>
      </x:c>
      <x:c r="F10" s="24" t="str">
        <x:v>8–15/сторона</x:v>
      </x:c>
      <x:c r="G10" s="24" t="n">
        <x:v>2</x:v>
      </x:c>
      <x:c r="H10" s="24" t="str">
        <x:v>Шаг назад, опора при необходимости, таз и грудная клетка движутся как единый контролируемый блок.</x:v>
      </x:c>
      <x:c r="I10" s="24" t="str">
        <x:v>Повторы → вес → замедление.</x:v>
      </x:c>
      <x:c r="J10" s="24" t="str">
        <x:v>Сплит-присед у опоры.</x:v>
      </x:c>
      <x:c r="K10" s="24" t="str">
        <x:v>Одинаковый объём, без намеренного бокового наклона. | ACSM-RT-2026</x:v>
      </x:c>
    </x:row>
    <x:row r="11">
      <x:c r="A11" s="24" t="str">
        <x:v>b_stance_rdl</x:v>
      </x:c>
      <x:c r="B11" s="24" t="str">
        <x:v>B-stance румынская тяга</x:v>
      </x:c>
      <x:c r="C11" s="24" t="str">
        <x:v>hip_hinge</x:v>
      </x:c>
      <x:c r="D11" s="24" t="str">
        <x:v>dumbbells</x:v>
      </x:c>
      <x:c r="E11" s="24" t="n">
        <x:v>3</x:v>
      </x:c>
      <x:c r="F11" s="24" t="str">
        <x:v>10–20/сторона</x:v>
      </x:c>
      <x:c r="G11" s="24" t="n">
        <x:v>2</x:v>
      </x:c>
      <x:c r="H11" s="24" t="str">
        <x:v>Большая часть веса на передней ноге; гантели близко к телу; амплитуда до сохранения контроля и отсутствия невральных симптомов.</x:v>
      </x:c>
      <x:c r="I11" s="24" t="str">
        <x:v>Повторы → вес → 3–4 с эксцентрика.</x:v>
      </x:c>
      <x:c r="J11" s="24" t="str">
        <x:v>Двуногая тяга или хип-хиндж у стены.</x:v>
      </x:c>
      <x:c r="K11" s="24" t="str">
        <x:v>Одинаковый объём; поддержка рукой допустима. | ACSM-RT-2026, LOPEZ-LOAD-2021</x:v>
      </x:c>
    </x:row>
    <x:row r="12">
      <x:c r="A12" s="24" t="str">
        <x:v>single_leg_rdl_supported</x:v>
      </x:c>
      <x:c r="B12" s="24" t="str">
        <x:v>Одноногая тяга с опорой</x:v>
      </x:c>
      <x:c r="C12" s="24" t="str">
        <x:v>hip_hinge</x:v>
      </x:c>
      <x:c r="D12" s="24" t="str">
        <x:v>dumbbell, wall</x:v>
      </x:c>
      <x:c r="E12" s="24" t="n">
        <x:v>3</x:v>
      </x:c>
      <x:c r="F12" s="24" t="str">
        <x:v>8–15/сторона</x:v>
      </x:c>
      <x:c r="G12" s="24" t="n">
        <x:v>2</x:v>
      </x:c>
      <x:c r="H12" s="24" t="str">
        <x:v>Одна рука на опоре, таз не разворачивать силой; небольшая амплитуда лучше потери контроля.</x:v>
      </x:c>
      <x:c r="I12" s="24" t="str">
        <x:v>Повторы → вес → меньшая опора.</x:v>
      </x:c>
      <x:c r="J12" s="24" t="str">
        <x:v>B-stance RDL.</x:v>
      </x:c>
      <x:c r="K12" s="24" t="str">
        <x:v>Не использовать как тест «ровности» таза. | ACSM-RT-2026</x:v>
      </x:c>
    </x:row>
    <x:row r="13">
      <x:c r="A13" s="24" t="str">
        <x:v>glute_bridge</x:v>
      </x:c>
      <x:c r="B13" s="24" t="str">
        <x:v>Ягодичный мост / хамстринг-выходы</x:v>
      </x:c>
      <x:c r="C13" s="24" t="str">
        <x:v>hip_extension</x:v>
      </x:c>
      <x:c r="D13" s="24" t="str">
        <x:v>mat</x:v>
      </x:c>
      <x:c r="E13" s="24" t="n">
        <x:v>3</x:v>
      </x:c>
      <x:c r="F13" s="24" t="str">
        <x:v>10–20</x:v>
      </x:c>
      <x:c r="G13" s="24" t="n">
        <x:v>2</x:v>
      </x:c>
      <x:c r="H13" s="24" t="str">
        <x:v>Рёбра не выпячивать, поясницу не переразгибать. Для усложнения — медленные выходы пятками.</x:v>
      </x:c>
      <x:c r="I13" s="24" t="str">
        <x:v>Пауза → выходы → односторонний вариант с равным объёмом.</x:v>
      </x:c>
      <x:c r="J13" s="24" t="str">
        <x:v>Короткая амплитуда.</x:v>
      </x:c>
      <x:c r="K13" s="24" t="str">
        <x:v>Одинаковый объём при одностороннем варианте. | ACSM-RT-2026</x:v>
      </x:c>
    </x:row>
    <x:row r="14">
      <x:c r="A14" s="24" t="str">
        <x:v>pushup</x:v>
      </x:c>
      <x:c r="B14" s="24" t="str">
        <x:v>Отжимания: выбранная прогрессия</x:v>
      </x:c>
      <x:c r="C14" s="24" t="str">
        <x:v>horizontal_push</x:v>
      </x:c>
      <x:c r="D14" s="24" t="str">
        <x:v>floor/table/blocks</x:v>
      </x:c>
      <x:c r="E14" s="24" t="n">
        <x:v>3</x:v>
      </x:c>
      <x:c r="F14" s="24" t="str">
        <x:v>8–20</x:v>
      </x:c>
      <x:c r="G14" s="24" t="n">
        <x:v>2</x:v>
      </x:c>
      <x:c r="H14" s="24" t="str">
        <x:v>Тело как единый блок, лопатки свободно движутся, не проваливаться и не выворачивать корпус.</x:v>
      </x:c>
      <x:c r="I14" s="24" t="str">
        <x:v>Высокая опора → пол → ноги выше → пауза/медленный эксцентрик.</x:v>
      </x:c>
      <x:c r="J14" s="24" t="str">
        <x:v>Отжимания от стены/стола.</x:v>
      </x:c>
      <x:c r="K14" s="24" t="str">
        <x:v>Не фиксировать грудную клетку насильно; прекратить при боли/онемении. | KIKUCHI-PUSHUP-2017, ACSM-RT-2026</x:v>
      </x:c>
    </x:row>
    <x:row r="15">
      <x:c r="A15" s="24" t="str">
        <x:v>db_floor_press</x:v>
      </x:c>
      <x:c r="B15" s="24" t="str">
        <x:v>Жим гантелей лёжа на полу</x:v>
      </x:c>
      <x:c r="C15" s="24" t="str">
        <x:v>horizontal_push</x:v>
      </x:c>
      <x:c r="D15" s="24" t="str">
        <x:v>dumbbells, mat</x:v>
      </x:c>
      <x:c r="E15" s="24" t="n">
        <x:v>3</x:v>
      </x:c>
      <x:c r="F15" s="24" t="str">
        <x:v>10–20</x:v>
      </x:c>
      <x:c r="G15" s="24" t="n">
        <x:v>2</x:v>
      </x:c>
      <x:c r="H15" s="24" t="str">
        <x:v>Нейтральный хват при необходимости, рёбра контролировать, плечи без боли.</x:v>
      </x:c>
      <x:c r="I15" s="24" t="str">
        <x:v>Повторы → вес → пауза у пола → односторонний только при хорошем контроле.</x:v>
      </x:c>
      <x:c r="J15" s="24" t="str">
        <x:v>Лёгкие гантели или отжимания от высокой опоры.</x:v>
      </x:c>
      <x:c r="K15" s="24" t="str">
        <x:v>По умолчанию двусторонний вариант. | ACSM-RT-2026, LOPEZ-LOAD-2021</x:v>
      </x:c>
    </x:row>
    <x:row r="16">
      <x:c r="A16" s="24" t="str">
        <x:v>pike_pushup_optional</x:v>
      </x:c>
      <x:c r="B16" s="24" t="str">
        <x:v>Пайк-отжимание (опционально)</x:v>
      </x:c>
      <x:c r="C16" s="24" t="str">
        <x:v>vertical_push</x:v>
      </x:c>
      <x:c r="D16" s="24" t="str">
        <x:v>mat/blocks</x:v>
      </x:c>
      <x:c r="E16" s="24" t="n">
        <x:v>2</x:v>
      </x:c>
      <x:c r="F16" s="24" t="str">
        <x:v>6–15</x:v>
      </x:c>
      <x:c r="G16" s="24" t="n">
        <x:v>2</x:v>
      </x:c>
      <x:c r="H16" s="24" t="str">
        <x:v>Только при комфортных плечах и отсутствии усиления рёберного/поясничного симптома; не прогибаться.</x:v>
      </x:c>
      <x:c r="I16" s="24" t="str">
        <x:v>Выше таз/ноги, больше амплитуда.</x:v>
      </x:c>
      <x:c r="J16" s="24" t="str">
        <x:v>Жим гантелей лёжа или отжимание от высокой опоры.</x:v>
      </x:c>
      <x:c r="K16" s="24" t="str">
        <x:v>Не использовать, если провоцирует ротацию/компрессию. | ACSM-RT-2026</x:v>
      </x:c>
    </x:row>
    <x:row r="17">
      <x:c r="A17" s="24" t="str">
        <x:v>one_arm_row_supported</x:v>
      </x:c>
      <x:c r="B17" s="24" t="str">
        <x:v>Тяга гантели одной рукой с опорой</x:v>
      </x:c>
      <x:c r="C17" s="24" t="str">
        <x:v>horizontal_pull</x:v>
      </x:c>
      <x:c r="D17" s="24" t="str">
        <x:v>dumbbell, chair</x:v>
      </x:c>
      <x:c r="E17" s="24" t="n">
        <x:v>3</x:v>
      </x:c>
      <x:c r="F17" s="24" t="str">
        <x:v>12–30/сторона</x:v>
      </x:c>
      <x:c r="G17" s="24" t="n">
        <x:v>1</x:v>
      </x:c>
      <x:c r="H17" s="24" t="str">
        <x:v>Опора второй рукой, корпус максимально стабилен; вести локоть назад, не дотягивать скручиванием.</x:v>
      </x:c>
      <x:c r="I17" s="24" t="str">
        <x:v>Повторы → вес → пауза вверху → медленный эксцентрик.</x:v>
      </x:c>
      <x:c r="J17" s="24" t="str">
        <x:v>Меньший вес и амплитуда.</x:v>
      </x:c>
      <x:c r="K17" s="24" t="str">
        <x:v>Одинаковые подходы и целевой RIR на обе стороны; различие повторов допустимо только до одинакового усилия и без техники-компенсации. | ACSM-RT-2026, LOPEZ-LOAD-2021</x:v>
      </x:c>
    </x:row>
    <x:row r="18">
      <x:c r="A18" s="24" t="str">
        <x:v>prone_ytw</x:v>
      </x:c>
      <x:c r="B18" s="24" t="str">
        <x:v>Y–T–W лёжа</x:v>
      </x:c>
      <x:c r="C18" s="24" t="str">
        <x:v>scapular</x:v>
      </x:c>
      <x:c r="D18" s="24" t="str">
        <x:v>mat/light dumbbells optional</x:v>
      </x:c>
      <x:c r="E18" s="24" t="n">
        <x:v>2</x:v>
      </x:c>
      <x:c r="F18" s="24" t="str">
        <x:v>6–10 каждой позиции</x:v>
      </x:c>
      <x:c r="G18" s="24" t="n">
        <x:v>3</x:v>
      </x:c>
      <x:c r="H18" s="24" t="str">
        <x:v>Малый вес или без веса; движение лопатками, шея длинная, без переразгибания поясницы.</x:v>
      </x:c>
      <x:c r="I18" s="24" t="str">
        <x:v>Пауза 2 с, затем очень лёгкий вес.</x:v>
      </x:c>
      <x:c r="J18" s="24" t="str">
        <x:v>По одной позиции.</x:v>
      </x:c>
      <x:c r="K18" s="24" t="str">
        <x:v>Симметрично; не пытаться «свести» рёбра силой. | ACSM-RT-2026</x:v>
      </x:c>
    </x:row>
    <x:row r="19">
      <x:c r="A19" s="24" t="str">
        <x:v>reverse_fly</x:v>
      </x:c>
      <x:c r="B19" s="24" t="str">
        <x:v>Разведение гантелей в наклоне с опорой</x:v>
      </x:c>
      <x:c r="C19" s="24" t="str">
        <x:v>scapular</x:v>
      </x:c>
      <x:c r="D19" s="24" t="str">
        <x:v>dumbbells, chair</x:v>
      </x:c>
      <x:c r="E19" s="24" t="n">
        <x:v>2</x:v>
      </x:c>
      <x:c r="F19" s="24" t="str">
        <x:v>15–30</x:v>
      </x:c>
      <x:c r="G19" s="24" t="n">
        <x:v>2</x:v>
      </x:c>
      <x:c r="H19" s="24" t="str">
        <x:v>Лёгкий вес, опора грудью/рукой при необходимости, не скручивать корпус.</x:v>
      </x:c>
      <x:c r="I19" s="24" t="str">
        <x:v>Повторы → пауза → вес.</x:v>
      </x:c>
      <x:c r="J19" s="24" t="str">
        <x:v>Без веса/резинка в будущем.</x:v>
      </x:c>
      <x:c r="K19" s="24" t="str">
        <x:v>Симметрично. | ACSM-RT-2026, LOPEZ-LOAD-2021</x:v>
      </x:c>
    </x:row>
    <x:row r="20">
      <x:c r="A20" s="24" t="str">
        <x:v>dead_bug</x:v>
      </x:c>
      <x:c r="B20" s="24" t="str">
        <x:v>Dead bug</x:v>
      </x:c>
      <x:c r="C20" s="24" t="str">
        <x:v>trunk_control</x:v>
      </x:c>
      <x:c r="D20" s="24" t="str">
        <x:v>mat</x:v>
      </x:c>
      <x:c r="E20" s="24" t="n">
        <x:v>3</x:v>
      </x:c>
      <x:c r="F20" s="24" t="str">
        <x:v>6–10/сторона</x:v>
      </x:c>
      <x:c r="G20" s="24" t="n">
        <x:v>3</x:v>
      </x:c>
      <x:c r="H20" s="24" t="str">
        <x:v>Дышать, сохранять комфортное положение таза; уменьшить рычаг до исчезновения выпячивания/боли.</x:v>
      </x:c>
      <x:c r="I20" s="24" t="str">
        <x:v>Длиннее рычаг, пауза, лёгкая гантель в руках.</x:v>
      </x:c>
      <x:c r="J20" s="24" t="str">
        <x:v>Только движения ног или рук.</x:v>
      </x:c>
      <x:c r="K20" s="24" t="str">
        <x:v>Одинаковый объём; цель — контроль, не максимальное напряжение. | MONTICONE-ADULT-SCOLIOSIS-2016, ALANAZI-ADULT-SCOLIOSIS-2018</x:v>
      </x:c>
    </x:row>
    <x:row r="21">
      <x:c r="A21" s="24" t="str">
        <x:v>bird_dog</x:v>
      </x:c>
      <x:c r="B21" s="24" t="str">
        <x:v>Bird dog</x:v>
      </x:c>
      <x:c r="C21" s="24" t="str">
        <x:v>trunk_control</x:v>
      </x:c>
      <x:c r="D21" s="24" t="str">
        <x:v>mat</x:v>
      </x:c>
      <x:c r="E21" s="24" t="n">
        <x:v>3</x:v>
      </x:c>
      <x:c r="F21" s="24" t="str">
        <x:v>5–8/сторона, пауза 3–5 с</x:v>
      </x:c>
      <x:c r="G21" s="24" t="n">
        <x:v>3</x:v>
      </x:c>
      <x:c r="H21" s="24" t="str">
        <x:v>Не поднимать конечности выше контроля; исключить скручивание и задержку дыхания.</x:v>
      </x:c>
      <x:c r="I21" s="24" t="str">
        <x:v>Дольше пауза, затем скольжение колено-локоть без потери контроля.</x:v>
      </x:c>
      <x:c r="J21" s="24" t="str">
        <x:v>Только рука или только нога.</x:v>
      </x:c>
      <x:c r="K21" s="24" t="str">
        <x:v>Симметрично; не интерпретировать дрожание как структурную слабость одной стороны. | MONTICONE-ADULT-SCOLIOSIS-2016, ALANAZI-ADULT-SCOLIOSIS-2018</x:v>
      </x:c>
    </x:row>
    <x:row r="22">
      <x:c r="A22" s="24" t="str">
        <x:v>side_plank_equal</x:v>
      </x:c>
      <x:c r="B22" s="24" t="str">
        <x:v>Боковая планка — обе стороны поровну</x:v>
      </x:c>
      <x:c r="C22" s="24" t="str">
        <x:v>trunk_endurance</x:v>
      </x:c>
      <x:c r="D22" s="24" t="str">
        <x:v>mat</x:v>
      </x:c>
      <x:c r="E22" s="24" t="n">
        <x:v>2</x:v>
      </x:c>
      <x:c r="F22" s="24" t="str">
        <x:v>20–45 с/сторона</x:v>
      </x:c>
      <x:c r="G22" s="24" t="n">
        <x:v>2</x:v>
      </x:c>
      <x:c r="H22" s="24" t="str">
        <x:v>Колени или стопы, прямая линия, без боли и задержки дыхания.</x:v>
      </x:c>
      <x:c r="I22" s="24" t="str">
        <x:v>Время → более длинный рычаг.</x:v>
      </x:c>
      <x:c r="J22" s="24" t="str">
        <x:v>С колен, короткие удержания.</x:v>
      </x:c>
      <x:c r="K22" s="24" t="str">
        <x:v>Никакого одностороннего протокола без классификации дуги и назначения специалиста. | ALANAZI-ADULT-SCOLIOSIS-2018</x:v>
      </x:c>
    </x:row>
    <x:row r="23">
      <x:c r="A23" s="24" t="str">
        <x:v>suitcase_hold_equal</x:v>
      </x:c>
      <x:c r="B23" s="24" t="str">
        <x:v>Suitcase hold/march — обе стороны поровну</x:v>
      </x:c>
      <x:c r="C23" s="24" t="str">
        <x:v>trunk_endurance</x:v>
      </x:c>
      <x:c r="D23" s="24" t="str">
        <x:v>dumbbell</x:v>
      </x:c>
      <x:c r="E23" s="24" t="n">
        <x:v>2</x:v>
      </x:c>
      <x:c r="F23" s="24" t="str">
        <x:v>30–45 с/сторона</x:v>
      </x:c>
      <x:c r="G23" s="24" t="n">
        <x:v>2</x:v>
      </x:c>
      <x:c r="H23" s="24" t="str">
        <x:v>Стоять/маршировать без намеренного бокового наклона; одинаковое время и вес.</x:v>
      </x:c>
      <x:c r="I23" s="24" t="str">
        <x:v>Время → медленный марш → вес.</x:v>
      </x:c>
      <x:c r="J23" s="24" t="str">
        <x:v>Статическое удержание, меньший вес.</x:v>
      </x:c>
      <x:c r="K23" s="24" t="str">
        <x:v>Не делать только с одной стороны как «коррекцию». | ACSM-RT-2026</x:v>
      </x:c>
    </x:row>
    <x:row r="24">
      <x:c r="A24" s="24" t="str">
        <x:v>wall_hip_abduction</x:v>
      </x:c>
      <x:c r="B24" s="24" t="str">
        <x:v>Изометрия отведения бедра у стены</x:v>
      </x:c>
      <x:c r="C24" s="24" t="str">
        <x:v>hip_stability</x:v>
      </x:c>
      <x:c r="D24" s="24" t="str">
        <x:v>wall</x:v>
      </x:c>
      <x:c r="E24" s="24" t="n">
        <x:v>2</x:v>
      </x:c>
      <x:c r="F24" s="24" t="str">
        <x:v>20–30 с/сторона</x:v>
      </x:c>
      <x:c r="G24" s="24" t="n">
        <x:v>3</x:v>
      </x:c>
      <x:c r="H24" s="24" t="str">
        <x:v>Колено мягко давит в стену, таз не заваливать, усилие умеренное.</x:v>
      </x:c>
      <x:c r="I24" s="24" t="str">
        <x:v>Дольше удержание или мини-присед на опорной ноге.</x:v>
      </x:c>
      <x:c r="J24" s="24" t="str">
        <x:v>Меньшее усилие.</x:v>
      </x:c>
      <x:c r="K24" s="24" t="str">
        <x:v>Одинаковый объём. | MONTICONE-ADULT-SCOLIOSIS-2016</x:v>
      </x:c>
    </x:row>
    <x:row r="25">
      <x:c r="A25" s="24" t="str">
        <x:v>wall_slide</x:v>
      </x:c>
      <x:c r="B25" s="24" t="str">
        <x:v>Скольжение руками по стене</x:v>
      </x:c>
      <x:c r="C25" s="24" t="str">
        <x:v>mobility_control</x:v>
      </x:c>
      <x:c r="D25" s="24" t="str">
        <x:v>wall</x:v>
      </x:c>
      <x:c r="E25" s="24" t="n">
        <x:v>2</x:v>
      </x:c>
      <x:c r="F25" s="24" t="str">
        <x:v>8–12</x:v>
      </x:c>
      <x:c r="G25" s="24" t="n">
        <x:v>3</x:v>
      </x:c>
      <x:c r="H25" s="24" t="str">
        <x:v>Рёбра не выталкивать, диапазон без боли в плечах, не прижимать позвоночник силой.</x:v>
      </x:c>
      <x:c r="I25" s="24" t="str">
        <x:v>Пауза сверху.</x:v>
      </x:c>
      <x:c r="J25" s="24" t="str">
        <x:v>Меньшая амплитуда.</x:v>
      </x:c>
      <x:c r="K25" s="24" t="str">
        <x:v>Симметрично, без принуждения рёбер. | MONTICONE-ADULT-SCOLIOSIS-2016</x:v>
      </x:c>
    </x:row>
    <x:row r="26">
      <x:c r="A26" s="24" t="str">
        <x:v>brisk_walk</x:v>
      </x:c>
      <x:c r="B26" s="24" t="str">
        <x:v>Быстрая ходьба</x:v>
      </x:c>
      <x:c r="C26" s="24" t="str">
        <x:v>aerobic</x:v>
      </x:c>
      <x:c r="D26" s="24" t="str">
        <x:v>none</x:v>
      </x:c>
      <x:c r="E26" s="24" t="n">
        <x:v>1</x:v>
      </x:c>
      <x:c r="F26" s="24" t="str">
        <x:v>20–40 мин</x:v>
      </x:c>
      <x:c r="G26" s="24"/>
      <x:c r="H26" s="24" t="str">
        <x:v>Разговорный темп умеренной интенсивности; можно дробить на 10–15 минут.</x:v>
      </x:c>
      <x:c r="I26" s="24" t="str">
        <x:v>Время/темп постепенно.</x:v>
      </x:c>
      <x:c r="J26" s="24" t="str">
        <x:v>Спокойная ходьба.</x:v>
      </x:c>
      <x:c r="K26" s="24" t="str">
        <x:v>Выбирать переносимый темп и обувь. | WHO-ACTIVITY-2020</x:v>
      </x:c>
    </x:row>
    <x:row r="27">
      <x:c r="A27" s="24" t="str">
        <x:v>gentle_yoga_flow</x:v>
      </x:c>
      <x:c r="B27" s="24" t="str">
        <x:v>Мягкий йога-флоу</x:v>
      </x:c>
      <x:c r="C27" s="24" t="str">
        <x:v>mobility_relaxation</x:v>
      </x:c>
      <x:c r="D27" s="24" t="str">
        <x:v>mat, blocks</x:v>
      </x:c>
      <x:c r="E27" s="24" t="n">
        <x:v>1</x:v>
      </x:c>
      <x:c r="F27" s="24" t="str">
        <x:v>15–25 мин</x:v>
      </x:c>
      <x:c r="G27" s="24"/>
      <x:c r="H27" s="24" t="str">
        <x:v>Мост, низкий выпад с опорой, поза ребёнка с поддержкой, мягкая задняя поверхность бедра, шавасана. Без агрессивных скручиваний и силовых боковых наклонов.</x:v>
      </x:c>
      <x:c r="I27" s="24" t="str">
        <x:v>Плавность и переносимость, не экстремальная амплитуда.</x:v>
      </x:c>
      <x:c r="J27" s="24" t="str">
        <x:v>Положения лёжа и с блоками.</x:v>
      </x:c>
      <x:c r="K27" s="24" t="str">
        <x:v>Йога не заменяет PSSE и не задаёт сторону коррекции. | YOGA-LBP-2022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c67c613cc03434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5" hidden="0" customWidth="1"/>
    <x:col min="4" max="4" width="28" hidden="0" customWidth="1"/>
    <x:col min="5" max="5" width="50" hidden="0" customWidth="1"/>
    <x:col min="6" max="6" width="50" hidden="0" customWidth="1"/>
    <x:col min="7" max="7" width="50" hidden="0" customWidth="1"/>
    <x:col min="8" max="8" width="18" hidden="0" customWidth="1"/>
    <x:col min="9" max="9" width="24" hidden="0" customWidth="1"/>
    <x:col min="10" max="10" width="48" hidden="0" customWidth="1"/>
  </x:cols>
  <x:sheetData>
    <x:row r="1" ht="32" customHeight="1">
      <x:c r="A1" s="4" t="str">
        <x:v>Evidence catalog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ID</x:v>
      </x:c>
      <x:c r="B3" s="18" t="str">
        <x:v>Домен</x:v>
      </x:c>
      <x:c r="C3" s="18" t="str">
        <x:v>Источник</x:v>
      </x:c>
      <x:c r="D3" s="18" t="str">
        <x:v>Дизайн</x:v>
      </x:c>
      <x:c r="E3" s="18" t="str">
        <x:v>Ключевой вывод</x:v>
      </x:c>
      <x:c r="F3" s="18" t="str">
        <x:v>Применение</x:v>
      </x:c>
      <x:c r="G3" s="18" t="str">
        <x:v>Ограничения</x:v>
      </x:c>
      <x:c r="H3" s="18" t="str">
        <x:v>Уровень</x:v>
      </x:c>
      <x:c r="I3" s="18" t="str">
        <x:v>PMID/DOI</x:v>
      </x:c>
      <x:c r="J3" s="18" t="str">
        <x:v>URL</x:v>
      </x:c>
    </x:row>
    <x:row r="4">
      <x:c r="A4" s="24" t="str">
        <x:v>ACSM-RT-2026</x:v>
      </x:c>
      <x:c r="B4" s="24" t="str">
        <x:v>resistance_training</x:v>
      </x:c>
      <x:c r="C4" s="24" t="str">
        <x:v>Currier BS et al. American College of Sports Medicine Position Stand: Resistance Training Prescription for Muscle Function, Hypertrophy, and Physical Performance in Healthy Adults. Med Sci Sports Exerc. 2026.</x:v>
      </x:c>
      <x:c r="D4" s="24" t="str">
        <x:v>overview of 137 systematic reviews (&gt;30,000 participants)</x:v>
      </x:c>
      <x:c r="E4" s="24" t="str">
        <x:v>Progressive resistance training improves strength, hypertrophy and function. Higher weekly volume tends to enhance hypertrophy; consistency and progression matter more than many minor programming details.</x:v>
      </x:c>
      <x:c r="F4" s="24" t="str">
        <x:v>Three full-body sessions, progressive overload, 2-4 sets, mostly 1-3 RIR, gradual volume progression.</x:v>
      </x:c>
      <x:c r="G4" s="24" t="str">
        <x:v>Healthy-adult evidence; not a scoliosis-specific prescription.</x:v>
      </x:c>
      <x:c r="H4" s="24" t="str">
        <x:v>high</x:v>
      </x:c>
      <x:c r="I4" s="24" t="str">
        <x:v>41843416 | 10.1249/MSS.0000000000003897</x:v>
      </x:c>
      <x:c r="J4" s="24" t="str">
        <x:v>https://pubmed.ncbi.nlm.nih.gov/41843416/</x:v>
      </x:c>
    </x:row>
    <x:row r="5">
      <x:c r="A5" s="24" t="str">
        <x:v>MONTICONE-ADULT-SCOLIOSIS-2016</x:v>
      </x:c>
      <x:c r="B5" s="24" t="str">
        <x:v>adult_scoliosis</x:v>
      </x:c>
      <x:c r="C5" s="24" t="str">
        <x:v>Monticone M et al. Adults with idiopathic scoliosis improve disability after motor and cognitive rehabilitation: a randomized controlled trial. Eur Spine J. 2016.</x:v>
      </x:c>
      <x:c r="D5" s="24" t="str">
        <x:v>randomized controlled trial, 130 adults, 20 weeks</x:v>
      </x:c>
      <x:c r="E5" s="24" t="str">
        <x:v>Active self-correction, task-oriented exercise and cognitive-behavioural rehabilitation outperformed general physiotherapy for disability; benefits persisted at one year.</x:v>
      </x:c>
      <x:c r="F5" s="24" t="str">
        <x:v>Use active self-correction and task integration only after curve-specific instruction; include stress/cognitive load management.</x:v>
      </x:c>
      <x:c r="G5" s="24" t="str">
        <x:v>Main curve &lt;35 degrees; mean age about 52; one programme cannot define all adult scoliosis care.</x:v>
      </x:c>
      <x:c r="H5" s="24" t="str">
        <x:v>moderate</x:v>
      </x:c>
      <x:c r="I5" s="24" t="str">
        <x:v>27015689 | 10.1007/s00586-016-4528-y</x:v>
      </x:c>
      <x:c r="J5" s="24" t="str">
        <x:v>https://pubmed.ncbi.nlm.nih.gov/27015689/</x:v>
      </x:c>
    </x:row>
    <x:row r="6">
      <x:c r="A6" s="24" t="str">
        <x:v>ALANAZI-ADULT-SCOLIOSIS-2018</x:v>
      </x:c>
      <x:c r="B6" s="24" t="str">
        <x:v>adult_scoliosis</x:v>
      </x:c>
      <x:c r="C6" s="24" t="str">
        <x:v>Alanazi MH et al. Effect of stabilization exercise on back pain, disability and quality of life in adults with scoliosis: a systematic review. Eur J Phys Rehabil Med. 2018.</x:v>
      </x:c>
      <x:c r="D6" s="24" t="str">
        <x:v>systematic review</x:v>
      </x:c>
      <x:c r="E6" s="24" t="str">
        <x:v>Only one eligible controlled study was found; adult scoliosis exercise evidence remains sparse.</x:v>
      </x:c>
      <x:c r="F6" s="24" t="str">
        <x:v>Do not overclaim structural correction. Treat generic core work as capacity training, not curve correction.</x:v>
      </x:c>
      <x:c r="G6" s="24" t="str">
        <x:v>Extremely limited evidence base.</x:v>
      </x:c>
      <x:c r="H6" s="24" t="str">
        <x:v>low</x:v>
      </x:c>
      <x:c r="I6" s="24" t="str">
        <x:v>29144110 | 10.23736/S1973-9087.17.05062-6</x:v>
      </x:c>
      <x:c r="J6" s="24" t="str">
        <x:v>https://pubmed.ncbi.nlm.nih.gov/29144110/</x:v>
      </x:c>
    </x:row>
    <x:row r="7">
      <x:c r="A7" s="24" t="str">
        <x:v>SOSORT-GUIDELINES-2016</x:v>
      </x:c>
      <x:c r="B7" s="24" t="str">
        <x:v>scoliosis_specific_exercise</x:v>
      </x:c>
      <x:c r="C7" s="24" t="str">
        <x:v>Negrini S et al. 2016 SOSORT guidelines: orthopaedic and rehabilitation treatment of idiopathic scoliosis during growth. Scoliosis Spinal Disord. 2018.</x:v>
      </x:c>
      <x:c r="D7" s="24" t="str">
        <x:v>international guideline/consensus with evidence review</x:v>
      </x:c>
      <x:c r="E7" s="24" t="str">
        <x:v>PSSE principles include 3D auto-correction, training activities of daily living, stabilizing the corrected posture and education.</x:v>
      </x:c>
      <x:c r="F7" s="24" t="str">
        <x:v>The app locks side-specific correction until current curve data and clinician-taught instructions exist.</x:v>
      </x:c>
      <x:c r="G7" s="24" t="str">
        <x:v>Primarily focused on scoliosis during growth, not a complete adult guideline.</x:v>
      </x:c>
      <x:c r="H7" s="24" t="str">
        <x:v>guideline</x:v>
      </x:c>
      <x:c r="I7" s="24" t="str">
        <x:v>29435499 | 10.1186/s13013-017-0145-8</x:v>
      </x:c>
      <x:c r="J7" s="24" t="str">
        <x:v>https://pmc.ncbi.nlm.nih.gov/articles/PMC5795289/</x:v>
      </x:c>
    </x:row>
    <x:row r="8">
      <x:c r="A8" s="24" t="str">
        <x:v>PSSE-METHODS-2016</x:v>
      </x:c>
      <x:c r="B8" s="24" t="str">
        <x:v>scoliosis_specific_exercise</x:v>
      </x:c>
      <x:c r="C8" s="24" t="str">
        <x:v>Berdishevsky H et al. Physiotherapy scoliosis-specific exercises – a comprehensive review of seven major schools. Scoliosis Spinal Disord. 2016.</x:v>
      </x:c>
      <x:c r="D8" s="24" t="str">
        <x:v>narrative/comprehensive methods review</x:v>
      </x:c>
      <x:c r="E8" s="24" t="str">
        <x:v>PSSE schools share 3D self-correction, ADL integration and stabilization, but methods and curve-pattern execution differ.</x:v>
      </x:c>
      <x:c r="F8" s="24" t="str">
        <x:v>Generic symmetrical training is separated from clinician-prescribed PSSE.</x:v>
      </x:c>
      <x:c r="G8" s="24" t="str">
        <x:v>Not proof that every method or exercise works equally; much evidence is adolescent-focused.</x:v>
      </x:c>
      <x:c r="H8" s="24" t="str">
        <x:v>moderate_context</x:v>
      </x:c>
      <x:c r="I8" s="24" t="str">
        <x:v>27525315 | 10.1186/s13013-016-0076-9</x:v>
      </x:c>
      <x:c r="J8" s="24" t="str">
        <x:v>https://pmc.ncbi.nlm.nih.gov/articles/PMC4973373/</x:v>
      </x:c>
    </x:row>
    <x:row r="9">
      <x:c r="A9" s="24" t="str">
        <x:v>ISSN-DIETS-2017</x:v>
      </x:c>
      <x:c r="B9" s="24" t="str">
        <x:v>nutrition</x:v>
      </x:c>
      <x:c r="C9" s="24" t="str">
        <x:v>Aragon AA et al. International Society of Sports Nutrition position stand: diets and body composition. J Int Soc Sports Nutr. 2017.</x:v>
      </x:c>
      <x:c r="D9" s="24" t="str">
        <x:v>position stand/evidence review</x:v>
      </x:c>
      <x:c r="E9" s="24" t="str">
        <x:v>Sustained energy deficit drives fat loss; slower loss better preserves lean mass in leaner trained people; higher protein may aid retention during a deficit.</x:v>
      </x:c>
      <x:c r="F9" s="24" t="str">
        <x:v>Mild deficit, high protein, adaptive adjustment from actual weight trend and adherence.</x:v>
      </x:c>
      <x:c r="G9" s="24" t="str">
        <x:v>Protein needs vary; the upper 2.3-3.1 g/kg FFM range is not a mandatory target for everyone.</x:v>
      </x:c>
      <x:c r="H9" s="24" t="str">
        <x:v>moderate_high</x:v>
      </x:c>
      <x:c r="I9" s="24" t="str">
        <x:v>28630601 | 10.1186/s12970-017-0174-y</x:v>
      </x:c>
      <x:c r="J9" s="24" t="str">
        <x:v>https://pubmed.ncbi.nlm.nih.gov/28630601/</x:v>
      </x:c>
    </x:row>
    <x:row r="10">
      <x:c r="A10" s="24" t="str">
        <x:v>MORTON-PROTEIN-2018</x:v>
      </x:c>
      <x:c r="B10" s="24" t="str">
        <x:v>nutrition</x:v>
      </x:c>
      <x:c r="C10" s="24" t="str">
        <x:v>Morton RW et al. Protein supplementation and resistance training adaptations: systematic review, meta-analysis and meta-regression. Br J Sports Med. 2018.</x:v>
      </x:c>
      <x:c r="D10" s="24" t="str">
        <x:v>systematic review and meta-analysis</x:v>
      </x:c>
      <x:c r="E10" s="24" t="str">
        <x:v>Protein supports resistance-training gains; average benefit plateau was around 1.6 g/kg/day with uncertainty extending higher.</x:v>
      </x:c>
      <x:c r="F10" s="24" t="str">
        <x:v>Default 1.8-2.2 g/kg/day during a cut; 170 g/day here is about 2.0 g/kg.</x:v>
      </x:c>
      <x:c r="G10" s="24" t="str">
        <x:v>Supplement studies; individual response, total energy and baseline intake matter.</x:v>
      </x:c>
      <x:c r="H10" s="24" t="str">
        <x:v>high</x:v>
      </x:c>
      <x:c r="I10" s="24" t="str">
        <x:v>28698222 | 10.1136/bjsports-2017-097608</x:v>
      </x:c>
      <x:c r="J10" s="24" t="str">
        <x:v>https://pubmed.ncbi.nlm.nih.gov/28698222/</x:v>
      </x:c>
    </x:row>
    <x:row r="11">
      <x:c r="A11" s="24" t="str">
        <x:v>MIFFLIN-1990</x:v>
      </x:c>
      <x:c r="B11" s="24" t="str">
        <x:v>energy_estimation</x:v>
      </x:c>
      <x:c r="C11" s="24" t="str">
        <x:v>Mifflin MD et al. A new predictive equation for resting energy expenditure in healthy individuals. Am J Clin Nutr. 1990.</x:v>
      </x:c>
      <x:c r="D11" s="24" t="str">
        <x:v>equation development/validation</x:v>
      </x:c>
      <x:c r="E11" s="24" t="str">
        <x:v>Provides a practical RMR estimate from weight, height, age and sex.</x:v>
      </x:c>
      <x:c r="F11" s="24" t="str">
        <x:v>One of two starting BMR estimates; maintenance is calibrated from observed trend.</x:v>
      </x:c>
      <x:c r="G11" s="24" t="str">
        <x:v>Prediction error at individual level; not a metabolic measurement.</x:v>
      </x:c>
      <x:c r="H11" s="24" t="str">
        <x:v>validated_equation</x:v>
      </x:c>
      <x:c r="I11" s="24" t="str">
        <x:v>2305711 | 10.1093/ajcn/51.2.241</x:v>
      </x:c>
      <x:c r="J11" s="24" t="str">
        <x:v>https://pubmed.ncbi.nlm.nih.gov/2305711/</x:v>
      </x:c>
    </x:row>
    <x:row r="12">
      <x:c r="A12" s="24" t="str">
        <x:v>CUNNINGHAM-1991</x:v>
      </x:c>
      <x:c r="B12" s="24" t="str">
        <x:v>energy_estimation</x:v>
      </x:c>
      <x:c r="C12" s="24" t="str">
        <x:v>Cunningham JJ. Body composition as a determinant of energy expenditure: a synthetic review and a proposed general prediction equation. Am J Clin Nutr. 1991.</x:v>
      </x:c>
      <x:c r="D12" s="24" t="str">
        <x:v>synthetic review/prediction equation</x:v>
      </x:c>
      <x:c r="E12" s="24" t="str">
        <x:v>Resting energy can be estimated from fat-free mass using 370 + 21.6 × FFM kg.</x:v>
      </x:c>
      <x:c r="F12" s="24" t="str">
        <x:v>Shown as a secondary estimate only because FFM comes from imprecise consumer BIA.</x:v>
      </x:c>
      <x:c r="G12" s="24" t="str">
        <x:v>Accuracy is constrained by body-composition measurement error.</x:v>
      </x:c>
      <x:c r="H12" s="24" t="str">
        <x:v>validated_equation</x:v>
      </x:c>
      <x:c r="I12" s="24" t="str">
        <x:v>1957828 | 10.1093/ajcn/54.6.963</x:v>
      </x:c>
      <x:c r="J12" s="24" t="str">
        <x:v>https://pubmed.ncbi.nlm.nih.gov/1957828/</x:v>
      </x:c>
    </x:row>
    <x:row r="13">
      <x:c r="A13" s="24" t="str">
        <x:v>SMART-SCALE-2021</x:v>
      </x:c>
      <x:c r="B13" s="24" t="str">
        <x:v>measurement</x:v>
      </x:c>
      <x:c r="C13" s="24" t="str">
        <x:v>Frija-Masson J et al. Accuracy of Smart Scales on Weight and Body Composition: Observational Study. JMIR Mhealth Uhealth. 2021.</x:v>
      </x:c>
      <x:c r="D13" s="24" t="str">
        <x:v>observational validation against DXA</x:v>
      </x:c>
      <x:c r="E13" s="24" t="str">
        <x:v>Consumer smart scales measured body weight reasonably well but body-composition estimates were not accurate enough to replace DXA.</x:v>
      </x:c>
      <x:c r="F13" s="24" t="str">
        <x:v>Use Xiaomi weight trends; treat body-fat, muscle, water and visceral-fat fields as noisy secondary signals.</x:v>
      </x:c>
      <x:c r="G13" s="24" t="str">
        <x:v>Three tested devices, not every scale; study population was clinical.</x:v>
      </x:c>
      <x:c r="H13" s="24" t="str">
        <x:v>moderate</x:v>
      </x:c>
      <x:c r="I13" s="24" t="str">
        <x:v>33929337 | 10.2196/22487</x:v>
      </x:c>
      <x:c r="J13" s="24" t="str">
        <x:v>https://pmc.ncbi.nlm.nih.gov/articles/PMC8122302/</x:v>
      </x:c>
    </x:row>
    <x:row r="14">
      <x:c r="A14" s="24" t="str">
        <x:v>LOPEZ-LOAD-2021</x:v>
      </x:c>
      <x:c r="B14" s="24" t="str">
        <x:v>resistance_training</x:v>
      </x:c>
      <x:c r="C14" s="24" t="str">
        <x:v>Lopez P et al. Resistance Training Load Effects on Muscle Hypertrophy and Strength Gain: Systematic Review and Network Meta-analysis. Med Sci Sports Exerc. 2021.</x:v>
      </x:c>
      <x:c r="D14" s="24" t="str">
        <x:v>systematic review and network meta-analysis</x:v>
      </x:c>
      <x:c r="E14" s="24" t="str">
        <x:v>Hypertrophy can occur across a wide loading range when sets are sufficiently effortful; heavier loads are superior for maximal strength.</x:v>
      </x:c>
      <x:c r="F14" s="24" t="str">
        <x:v>With 10 kg dumbbells, use unilateral leverage, higher reps, pauses and 1-3 RIR.</x:v>
      </x:c>
      <x:c r="G14" s="24" t="str">
        <x:v>Not scoliosis-specific; effort and technique control are critical with low loads.</x:v>
      </x:c>
      <x:c r="H14" s="24" t="str">
        <x:v>high</x:v>
      </x:c>
      <x:c r="I14" s="24" t="str">
        <x:v>33433148 | 10.1249/MSS.0000000000002585</x:v>
      </x:c>
      <x:c r="J14" s="24" t="str">
        <x:v>https://pubmed.ncbi.nlm.nih.gov/33433148/</x:v>
      </x:c>
    </x:row>
    <x:row r="15">
      <x:c r="A15" s="24" t="str">
        <x:v>KIKUCHI-PUSHUP-2017</x:v>
      </x:c>
      <x:c r="B15" s="24" t="str">
        <x:v>calisthenics</x:v>
      </x:c>
      <x:c r="C15" s="24" t="str">
        <x:v>Kikuchi N, Nakazato K. Low-load bench press and push-up induce similar muscle hypertrophy and strength gain. J Exerc Sci Fit. 2017.</x:v>
      </x:c>
      <x:c r="D15" s="24" t="str">
        <x:v>8-week comparative training study</x:v>
      </x:c>
      <x:c r="E15" s="24" t="str">
        <x:v>Load-matched push-ups produced comparable hypertrophy and strength to low-load bench press.</x:v>
      </x:c>
      <x:c r="F15" s="24" t="str">
        <x:v>Progressive push-up variations are a legitimate primary press exercise.</x:v>
      </x:c>
      <x:c r="G15" s="24" t="str">
        <x:v>Small study and one movement pattern.</x:v>
      </x:c>
      <x:c r="H15" s="24" t="str">
        <x:v>moderate</x:v>
      </x:c>
      <x:c r="I15" s="24" t="str">
        <x:v>29541130 | 10.1016/j.jesf.2017.06.003</x:v>
      </x:c>
      <x:c r="J15" s="24" t="str">
        <x:v>https://pubmed.ncbi.nlm.nih.gov/29541130/</x:v>
      </x:c>
    </x:row>
    <x:row r="16">
      <x:c r="A16" s="24" t="str">
        <x:v>RIR-DOSE-2024</x:v>
      </x:c>
      <x:c r="B16" s="24" t="str">
        <x:v>resistance_training</x:v>
      </x:c>
      <x:c r="C16" s="24" t="str">
        <x:v>Robinson ZP et al. Exploring the Dose-Response Relationship Between Estimated Resistance Training Proximity to Failure, Strength Gain, and Muscle Hypertrophy. Sports Med. 2024.</x:v>
      </x:c>
      <x:c r="D16" s="24" t="str">
        <x:v>meta-regression/systematic synthesis</x:v>
      </x:c>
      <x:c r="E16" s="24" t="str">
        <x:v>Hypertrophy tends to improve closer to failure, while strength does not require constant failure training.</x:v>
      </x:c>
      <x:c r="F16" s="24" t="str">
        <x:v>Most working sets at 1-3 RIR; avoid grinding failure on balance-demanding or spine-loaded patterns.</x:v>
      </x:c>
      <x:c r="G16" s="24" t="str">
        <x:v>RIR estimation is noisy and causality/dose shape is uncertain.</x:v>
      </x:c>
      <x:c r="H16" s="24" t="str">
        <x:v>moderate_high</x:v>
      </x:c>
      <x:c r="I16" s="24" t="str">
        <x:v>38970765 | 10.1007/s40279-024-02069-2</x:v>
      </x:c>
      <x:c r="J16" s="24" t="str">
        <x:v>https://pubmed.ncbi.nlm.nih.gov/38970765/</x:v>
      </x:c>
    </x:row>
    <x:row r="17">
      <x:c r="A17" s="24" t="str">
        <x:v>FULLBODY-SPLIT-2024</x:v>
      </x:c>
      <x:c r="B17" s="24" t="str">
        <x:v>programming</x:v>
      </x:c>
      <x:c r="C17" s="24" t="str">
        <x:v>Ramos-Campo DJ et al. Efficacy of Split Versus Full-Body Resistance Training on Strength and Muscle Growth: A Systematic Review With Meta-Analysis. J Strength Cond Res. 2024.</x:v>
      </x:c>
      <x:c r="D17" s="24" t="str">
        <x:v>systematic review and meta-analysis</x:v>
      </x:c>
      <x:c r="E17" s="24" t="str">
        <x:v>Full-body and split routines yield similar strength and hypertrophy when weekly volume is equated.</x:v>
      </x:c>
      <x:c r="F17" s="24" t="str">
        <x:v>Three full-body sessions are a valid choice and fit the user's preference.</x:v>
      </x:c>
      <x:c r="G17" s="24" t="str">
        <x:v>Programme quality and adherence matter more than the label.</x:v>
      </x:c>
      <x:c r="H17" s="24" t="str">
        <x:v>high</x:v>
      </x:c>
      <x:c r="I17" s="24" t="str">
        <x:v>38595233 | 10.1519/JSC.0000000000004779</x:v>
      </x:c>
      <x:c r="J17" s="24" t="str">
        <x:v>https://pubmed.ncbi.nlm.nih.gov/38595233/</x:v>
      </x:c>
    </x:row>
    <x:row r="18">
      <x:c r="A18" s="24" t="str">
        <x:v>WHO-ACTIVITY-2020</x:v>
      </x:c>
      <x:c r="B18" s="24" t="str">
        <x:v>physical_activity</x:v>
      </x:c>
      <x:c r="C18" s="24" t="str">
        <x:v>Bull FC et al. World Health Organization 2020 guidelines on physical activity and sedentary behaviour. Br J Sports Med. 2020.</x:v>
      </x:c>
      <x:c r="D18" s="24" t="str">
        <x:v>global evidence-based guideline</x:v>
      </x:c>
      <x:c r="E18" s="24" t="str">
        <x:v>Adults should accumulate 150-300 minutes of moderate or 75-150 minutes of vigorous aerobic activity weekly plus strength work on at least 2 days.</x:v>
      </x:c>
      <x:c r="F18" s="24" t="str">
        <x:v>Add brisk walking and break up desk time; strength sessions alone do not guarantee the aerobic target.</x:v>
      </x:c>
      <x:c r="G18" s="24" t="str">
        <x:v>Population-level guideline, not a disease-specific prescription.</x:v>
      </x:c>
      <x:c r="H18" s="24" t="str">
        <x:v>guideline</x:v>
      </x:c>
      <x:c r="I18" s="24" t="str">
        <x:v>33239350 | 10.1136/bjsports-2020-102955</x:v>
      </x:c>
      <x:c r="J18" s="24" t="str">
        <x:v>https://pmc.ncbi.nlm.nih.gov/articles/PMC7719906/</x:v>
      </x:c>
    </x:row>
    <x:row r="19">
      <x:c r="A19" s="24" t="str">
        <x:v>SIT-STAND-BREAKS-2021</x:v>
      </x:c>
      <x:c r="B19" s="24" t="str">
        <x:v>sedentary_behavior</x:v>
      </x:c>
      <x:c r="C19" s="24" t="str">
        <x:v>Peddie MC et al. The effects of prolonged sitting, prolonged standing, and activity breaks on vascular function and postprandial metabolism. 2021.</x:v>
      </x:c>
      <x:c r="D19" s="24" t="str">
        <x:v>randomized crossover study</x:v>
      </x:c>
      <x:c r="E19" s="24" t="str">
        <x:v>Neither prolonged sitting nor prolonged standing is ideal; regular movement breaks are preferable to simply replacing all sitting with standing.</x:v>
      </x:c>
      <x:c r="F19" s="24" t="str">
        <x:v>Alternate positions and insert 2-3 minute movement breaks every 30-45 minutes.</x:v>
      </x:c>
      <x:c r="G19" s="24" t="str">
        <x:v>Acute laboratory outcomes; exact break dose is not settled.</x:v>
      </x:c>
      <x:c r="H19" s="24" t="str">
        <x:v>moderate</x:v>
      </x:c>
      <x:c r="I19" s="24" t="str">
        <x:v>33395691</x:v>
      </x:c>
      <x:c r="J19" s="24" t="str">
        <x:v>https://pubmed.ncbi.nlm.nih.gov/33395691/</x:v>
      </x:c>
    </x:row>
    <x:row r="20">
      <x:c r="A20" s="24" t="str">
        <x:v>SLOW-BREATHING-2022</x:v>
      </x:c>
      <x:c r="B20" s="24" t="str">
        <x:v>breathing_stress</x:v>
      </x:c>
      <x:c r="C20" s="24" t="str">
        <x:v>Laborde S et al. Effects of voluntary slow breathing on heart rate and heart rate variability: systematic review and meta-analysis. Neurosci Biobehav Rev. 2022.</x:v>
      </x:c>
      <x:c r="D20" s="24" t="str">
        <x:v>systematic review and meta-analysis</x:v>
      </x:c>
      <x:c r="E20" s="24" t="str">
        <x:v>Slow breathing acutely alters heart rate variability and autonomic markers.</x:v>
      </x:c>
      <x:c r="F20" s="24" t="str">
        <x:v>Use 5-6 comfortable breaths/min for 5 minutes as stress regulation—not as structural scoliosis correction.</x:v>
      </x:c>
      <x:c r="G20" s="24" t="str">
        <x:v>Heterogeneous protocols and outcomes; symptom relief is individual.</x:v>
      </x:c>
      <x:c r="H20" s="24" t="str">
        <x:v>moderate</x:v>
      </x:c>
      <x:c r="I20" s="24" t="str">
        <x:v>35623448 | 10.1016/j.neubiorev.2022.104795</x:v>
      </x:c>
      <x:c r="J20" s="24" t="str">
        <x:v>https://pubmed.ncbi.nlm.nih.gov/35623448/</x:v>
      </x:c>
    </x:row>
    <x:row r="21">
      <x:c r="A21" s="24" t="str">
        <x:v>DIAPHRAGMATIC-BREATHING-2019</x:v>
      </x:c>
      <x:c r="B21" s="24" t="str">
        <x:v>breathing_stress</x:v>
      </x:c>
      <x:c r="C21" s="24" t="str">
        <x:v>Hopper SI et al. Effectiveness of diaphragmatic breathing for reducing physiological and psychological stress in adults: a quantitative systematic review. JBI Database System Rev Implement Rep. 2019.</x:v>
      </x:c>
      <x:c r="D21" s="24" t="str">
        <x:v>systematic review</x:v>
      </x:c>
      <x:c r="E21" s="24" t="str">
        <x:v>Diaphragmatic breathing may reduce physiological and self-reported stress.</x:v>
      </x:c>
      <x:c r="F21" s="24" t="str">
        <x:v>Short daily practice, without forced maximal inhalation or prolonged breath holds.</x:v>
      </x:c>
      <x:c r="G21" s="24" t="str">
        <x:v>Small heterogeneous studies and varying risk of bias.</x:v>
      </x:c>
      <x:c r="H21" s="24" t="str">
        <x:v>low_moderate</x:v>
      </x:c>
      <x:c r="I21" s="24" t="str">
        <x:v>31436595 | 10.11124/JBISRIR-2017-003848</x:v>
      </x:c>
      <x:c r="J21" s="24" t="str">
        <x:v>https://pubmed.ncbi.nlm.nih.gov/31436595/</x:v>
      </x:c>
    </x:row>
    <x:row r="22">
      <x:c r="A22" s="24" t="str">
        <x:v>YOGA-LBP-2022</x:v>
      </x:c>
      <x:c r="B22" s="24" t="str">
        <x:v>yoga</x:v>
      </x:c>
      <x:c r="C22" s="24" t="str">
        <x:v>Wieland LS et al. Yoga for chronic non-specific low back pain. Cochrane Database Syst Rev. 2022.</x:v>
      </x:c>
      <x:c r="D22" s="24" t="str">
        <x:v>Cochrane systematic review</x:v>
      </x:c>
      <x:c r="E22" s="24" t="str">
        <x:v>Yoga provides small improvements versus no exercise, but may increase minor adverse events such as transient back pain and is not clearly superior to other exercise.</x:v>
      </x:c>
      <x:c r="F22" s="24" t="str">
        <x:v>Use gentle symptom-guided yoga as mobility/relaxation, not a curve-correction method.</x:v>
      </x:c>
      <x:c r="G22" s="24" t="str">
        <x:v>Low-to-moderate certainty; not scoliosis-specific.</x:v>
      </x:c>
      <x:c r="H22" s="24" t="str">
        <x:v>moderate</x:v>
      </x:c>
      <x:c r="I22" s="24" t="str">
        <x:v>36398843 | 10.1002/14651858.CD010671.pub3</x:v>
      </x:c>
      <x:c r="J22" s="24" t="str">
        <x:v>https://pubmed.ncbi.nlm.nih.gov/36398843/</x:v>
      </x:c>
    </x:row>
    <x:row r="23">
      <x:c r="A23" s="24" t="str">
        <x:v>MRI-ASYMPTOMATIC-2015</x:v>
      </x:c>
      <x:c r="B23" s="24" t="str">
        <x:v>spine_imaging</x:v>
      </x:c>
      <x:c r="C23" s="24" t="str">
        <x:v>Brinjikji W et al. Systematic literature review of imaging features of spinal degeneration in asymptomatic populations. AJNR. 2015.</x:v>
      </x:c>
      <x:c r="D23" s="24" t="str">
        <x:v>systematic review</x:v>
      </x:c>
      <x:c r="E23" s="24" t="str">
        <x:v>Disc degeneration and protrusions are common in asymptomatic people and become more prevalent with age.</x:v>
      </x:c>
      <x:c r="F23" s="24" t="str">
        <x:v>Do not let mild MRI findings alone dictate fear-based movement avoidance; correlate with symptoms and examination.</x:v>
      </x:c>
      <x:c r="G23" s="24" t="str">
        <x:v>Imaging findings can still be clinically relevant in context.</x:v>
      </x:c>
      <x:c r="H23" s="24" t="str">
        <x:v>high</x:v>
      </x:c>
      <x:c r="I23" s="24" t="str">
        <x:v>25430861 | 10.3174/ajnr.A4173</x:v>
      </x:c>
      <x:c r="J23" s="24" t="str">
        <x:v>https://pubmed.ncbi.nlm.nih.gov/25430861/</x:v>
      </x:c>
    </x:row>
    <x:row r="24">
      <x:c r="A24" s="24" t="str">
        <x:v>ACR-LBP-RED-FLAGS</x:v>
      </x:c>
      <x:c r="B24" s="24" t="str">
        <x:v>safety</x:v>
      </x:c>
      <x:c r="C24" s="24" t="str">
        <x:v>American College of Radiology. ACR Appropriateness Criteria: Low Back Pain.</x:v>
      </x:c>
      <x:c r="D24" s="24" t="str">
        <x:v>evidence-based imaging guideline</x:v>
      </x:c>
      <x:c r="E24" s="24" t="str">
        <x:v>Urgent evaluation/imaging is considered when red flags suggest cauda equina syndrome, malignancy, fracture or infection.</x:v>
      </x:c>
      <x:c r="F24" s="24" t="str">
        <x:v>The app blocks self-programming when new bowel/bladder dysfunction, saddle anaesthesia, progressive weakness or other major red flags are reported.</x:v>
      </x:c>
      <x:c r="G24" s="24" t="str">
        <x:v>A safety gate, not a diagnosis; red flags require clinical interpretation.</x:v>
      </x:c>
      <x:c r="H24" s="24" t="str">
        <x:v>guideline</x:v>
      </x:c>
      <x:c r="I24" s="24" t="str"/>
      <x:c r="J24" s="24" t="str">
        <x:v>https://acsearch.acr.org/docs/69483/narrative/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2af9d8ae6d543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4" t="str">
        <x:v>Safety gate и ограничения</x:v>
      </x:c>
      <x:c r="B1" s="4"/>
      <x:c r="C1" s="4"/>
      <x:c r="D1" s="4"/>
      <x:c r="E1" s="4"/>
      <x:c r="F1" s="4"/>
    </x:row>
    <x:row r="3">
      <x:c r="A3" s="18" t="str">
        <x:v>Пункт</x:v>
      </x:c>
      <x:c r="B3" s="18" t="str">
        <x:v>Self-report 2026-07-21</x:v>
      </x:c>
      <x:c r="C3" s="18" t="str">
        <x:v>Действие при появлении</x:v>
      </x:c>
    </x:row>
    <x:row r="4">
      <x:c r="A4" s="24" t="str">
        <x:v>Новая/прогрессирующая слабость ноги</x:v>
      </x:c>
      <x:c r="B4" s="71" t="str">
        <x:v>Нет</x:v>
      </x:c>
      <x:c r="C4" s="24" t="str">
        <x:v>Закрыть генерацию; клиническая оценка</x:v>
      </x:c>
    </x:row>
    <x:row r="5">
      <x:c r="A5" s="24" t="str">
        <x:v>Онемение в промежности / седловидной зоне</x:v>
      </x:c>
      <x:c r="B5" s="71" t="str">
        <x:v>Нет</x:v>
      </x:c>
      <x:c r="C5" s="24" t="str">
        <x:v>Срочная клиническая оценка</x:v>
      </x:c>
    </x:row>
    <x:row r="6">
      <x:c r="A6" s="24" t="str">
        <x:v>Нарушение мочеиспускания/дефекации</x:v>
      </x:c>
      <x:c r="B6" s="71" t="str">
        <x:v>Нет</x:v>
      </x:c>
      <x:c r="C6" s="24" t="str">
        <x:v>Срочная клиническая оценка</x:v>
      </x:c>
    </x:row>
    <x:row r="7">
      <x:c r="A7" s="24" t="str">
        <x:v>Необъяснимая ночная боль</x:v>
      </x:c>
      <x:c r="B7" s="71" t="str">
        <x:v>Нет</x:v>
      </x:c>
      <x:c r="C7" s="24" t="str">
        <x:v>Не генерировать обычную тренировку; оценка причины</x:v>
      </x:c>
    </x:row>
    <x:row r="8">
      <x:c r="A8" s="24" t="str">
        <x:v>Непреднамеренная потеря массы</x:v>
      </x:c>
      <x:c r="B8" s="71" t="str">
        <x:v>Нет</x:v>
      </x:c>
      <x:c r="C8" s="24" t="str">
        <x:v>Медицинская оценка</x:v>
      </x:c>
    </x:row>
    <x:row r="9">
      <x:c r="A9" s="24" t="str">
        <x:v>Лихорадка + боль в спине</x:v>
      </x:c>
      <x:c r="B9" s="71" t="str">
        <x:v>Нет</x:v>
      </x:c>
      <x:c r="C9" s="24" t="str">
        <x:v>Медицинская оценка</x:v>
      </x:c>
    </x:row>
    <x:row r="10">
      <x:c r="A10" s="24" t="str">
        <x:v>Недавняя серьёзная травма</x:v>
      </x:c>
      <x:c r="B10" s="71" t="str">
        <x:v>Нет</x:v>
      </x:c>
      <x:c r="C10" s="24" t="str">
        <x:v>Оценка травмы</x:v>
      </x:c>
    </x:row>
    <x:row r="11">
      <x:c r="A11" s="24" t="str">
        <x:v>Быстрое неврологическое прогрессирование</x:v>
      </x:c>
      <x:c r="B11" s="71" t="str">
        <x:v>Нет</x:v>
      </x:c>
      <x:c r="C11" s="24" t="str">
        <x:v>Срочная клиническая оценка</x:v>
      </x:c>
    </x:row>
    <x:row r="13">
      <x:c r="A13" s="10" t="str">
        <x:v>Self-report без красных флагов не равен медицинскому разрешению. Новые симптомы имеют приоритет над планом.</x:v>
      </x:c>
      <x:c r="B13" s="10"/>
      <x:c r="C13" s="10"/>
      <x:c r="D13" s="10"/>
      <x:c r="E13" s="10"/>
      <x:c r="F13" s="10"/>
    </x:row>
    <x:row r="15">
      <x:c r="A15" s="18" t="str">
        <x:v>Curve-specific ограничение</x:v>
      </x:c>
      <x:c r="B15" s="18" t="str">
        <x:v>Статус</x:v>
      </x:c>
    </x:row>
    <x:row r="16">
      <x:c r="A16" s="24" t="str">
        <x:v>Односторонний клин под таз</x:v>
      </x:c>
      <x:c r="B16" s="24" t="str">
        <x:v>Заблокировано без оценки таза</x:v>
      </x:c>
    </x:row>
    <x:row r="17">
      <x:c r="A17" s="24" t="str">
        <x:v>Подъём одной стопы/стелька</x:v>
      </x:c>
      <x:c r="B17" s="24" t="str">
        <x:v>Заблокировано без измерения</x:v>
      </x:c>
    </x:row>
    <x:row r="18">
      <x:c r="A18" s="24" t="str">
        <x:v>Неравный объём на стороны</x:v>
      </x:c>
      <x:c r="B18" s="24" t="str">
        <x:v>Заблокировано без clinician-authored plan</x:v>
      </x:c>
    </x:row>
    <x:row r="19">
      <x:c r="A19" s="24" t="str">
        <x:v>Направленное деротационное дыхание</x:v>
      </x:c>
      <x:c r="B19" s="24" t="str">
        <x:v>Только после обучения PSSE/Schroth/SEAS</x:v>
      </x:c>
    </x:row>
    <x:row r="20">
      <x:c r="A20" s="24" t="str">
        <x:v>Интерпретация угла Cobb по фото монитора</x:v>
      </x:c>
      <x:c r="B20" s="24" t="str">
        <x:v>Недопустимо</x:v>
      </x:c>
    </x:row>
  </x:sheetData>
  <x:mergeCells>
    <x:mergeCell ref="A1:F1"/>
    <x:mergeCell ref="A13:F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4" t="str">
        <x:v>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34" t="str">
        <x:v>KPI</x:v>
      </x:c>
      <x:c r="B3" s="34" t="str">
        <x:v>Значение</x:v>
      </x:c>
    </x:row>
    <x:row r="4">
      <x:c r="A4" s="76" t="str">
        <x:v>Цель калорий</x:v>
      </x:c>
      <x:c r="B4" s="45" t="n">
        <x:f>Profile!E11</x:f>
        <x:v>2300</x:v>
      </x:c>
    </x:row>
    <x:row r="5">
      <x:c r="A5" s="76" t="str">
        <x:v>Белок, г</x:v>
      </x:c>
      <x:c r="B5" s="45" t="n">
        <x:f>Profile!E12</x:f>
        <x:v>170</x:v>
      </x:c>
    </x:row>
    <x:row r="6">
      <x:c r="A6" s="76" t="str">
        <x:v>Жиры, г</x:v>
      </x:c>
      <x:c r="B6" s="45" t="n">
        <x:f>Profile!E13</x:f>
        <x:v>75</x:v>
      </x:c>
    </x:row>
    <x:row r="7">
      <x:c r="A7" s="76" t="str">
        <x:v>Углеводы, г</x:v>
      </x:c>
      <x:c r="B7" s="45" t="n">
        <x:f>Profile!E14</x:f>
        <x:v>236</x:v>
      </x:c>
    </x:row>
    <x:row r="8">
      <x:c r="A8" s="76" t="str">
        <x:v>BMR, ккал</x:v>
      </x:c>
      <x:c r="B8" s="45" t="n">
        <x:f>Profile!E7</x:f>
        <x:v>1829.06528</x:v>
      </x:c>
    </x:row>
    <x:row r="9">
      <x:c r="A9" s="76" t="str">
        <x:v>Поддержание</x:v>
      </x:c>
      <x:c r="B9" s="45" t="str">
        <x:f>"от "&amp;TEXT(Profile!E8,"0")&amp;" до "&amp;TEXT(Profile!E9,"0")</x:f>
        <x:v>от 2561 до 2744</x:v>
      </x:c>
    </x:row>
    <x:row r="10">
      <x:c r="A10" s="76" t="str">
        <x:v>Последний вес</x:v>
      </x:c>
      <x:c r="B10" s="45" t="n">
        <x:f>IFERROR(LOOKUP(2,1/(Daily_Log!B4:B123&lt;&gt;""),Daily_Log!B4:B123),Profile!B4)</x:f>
        <x:v>83.2</x:v>
      </x:c>
    </x:row>
    <x:row r="11">
      <x:c r="A11" s="76" t="str">
        <x:v>Последняя 7-дн. средняя</x:v>
      </x:c>
      <x:c r="B11" s="45" t="str">
        <x:f>IFERROR(LOOKUP(2,1/(Daily_Log!P4:P123&lt;&gt;""),Daily_Log!P4:P123),"")</x:f>
      </x:c>
    </x:row>
    <x:row r="12">
      <x:c r="A12" s="76" t="str">
        <x:v>Сессии score, текущая неделя</x:v>
      </x:c>
      <x:c r="B12" s="45" t="n">
        <x:f>IFERROR(LOOKUP(2,1/(Weekly_Review!K4:K15&lt;&gt;""),Weekly_Review!K4:K15),0)</x:f>
        <x:v>0</x:v>
      </x:c>
    </x:row>
    <x:row r="14">
      <x:c r="A14" s="10" t="str">
        <x:v>Решения по калориям принимаются после ≥14 дней и достаточного качества учёта. При ухудшении боли, сна или производительности приоритет — восстановление, а не дефицит.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</x:sheetData>
  <x:mergeCells>
    <x:mergeCell ref="A1:N1"/>
    <x:mergeCell ref="A14:N14"/>
  </x:mergeCells>
  <x:pageMargins left="0.7" right="0.7" top="0.75" bottom="0.75" header="0.3" footer="0.3"/>
  <x:drawing xmlns:r="http://schemas.openxmlformats.org/officeDocument/2006/relationships" r:id="R1187192f468f4d28"/>
</x:worksheet>
</file>